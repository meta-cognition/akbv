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mpa\Documents\GitHub\akbv\resources\xls\"/>
    </mc:Choice>
  </mc:AlternateContent>
  <xr:revisionPtr revIDLastSave="0" documentId="13_ncr:1_{4F30E860-96DA-4AB4-89B5-564DEEADFD42}" xr6:coauthVersionLast="47" xr6:coauthVersionMax="47" xr10:uidLastSave="{00000000-0000-0000-0000-000000000000}"/>
  <bookViews>
    <workbookView xWindow="-120" yWindow="-120" windowWidth="29040" windowHeight="15525" activeTab="3" xr2:uid="{B95CE1A8-74D3-4574-ACB4-2A6293CAAEAB}"/>
  </bookViews>
  <sheets>
    <sheet name="Fund Links" sheetId="2" r:id="rId1"/>
    <sheet name="Fund Nodes" sheetId="1" r:id="rId2"/>
    <sheet name="Department" sheetId="8" r:id="rId3"/>
    <sheet name="RDU Nodes" sheetId="6" r:id="rId4"/>
    <sheet name="Palette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8" l="1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C11" i="8"/>
  <c r="C54" i="8"/>
  <c r="C91" i="2"/>
  <c r="C6" i="2"/>
  <c r="C81" i="2"/>
  <c r="C149" i="8"/>
  <c r="C110" i="8"/>
  <c r="C27" i="2"/>
  <c r="C95" i="1"/>
  <c r="C92" i="2"/>
  <c r="C14" i="2"/>
  <c r="C27" i="1"/>
  <c r="C73" i="8"/>
  <c r="C29" i="2"/>
  <c r="C145" i="8"/>
  <c r="C112" i="8"/>
  <c r="C74" i="8"/>
  <c r="C100" i="2"/>
  <c r="C96" i="2"/>
  <c r="C4" i="2"/>
  <c r="C63" i="1"/>
  <c r="C79" i="1"/>
  <c r="C136" i="8"/>
  <c r="C39" i="2"/>
  <c r="C45" i="8"/>
  <c r="C107" i="8"/>
  <c r="C94" i="2"/>
  <c r="C95" i="8"/>
  <c r="C77" i="2"/>
  <c r="C37" i="8"/>
  <c r="C148" i="8"/>
  <c r="C30" i="2"/>
  <c r="C52" i="2"/>
  <c r="C45" i="2"/>
  <c r="C61" i="2"/>
  <c r="C22" i="8"/>
  <c r="C112" i="2"/>
  <c r="C82" i="8"/>
  <c r="C47" i="1"/>
  <c r="C150" i="8"/>
  <c r="C83" i="8"/>
  <c r="C64" i="1"/>
  <c r="C84" i="2"/>
  <c r="C44" i="1"/>
  <c r="C16" i="2"/>
  <c r="C55" i="2"/>
  <c r="C20" i="1"/>
  <c r="C22" i="1"/>
  <c r="C118" i="2"/>
  <c r="D163" i="6"/>
  <c r="C98" i="2"/>
  <c r="C76" i="1"/>
  <c r="C47" i="8"/>
  <c r="C65" i="2"/>
  <c r="C36" i="1"/>
  <c r="C53" i="2"/>
  <c r="C26" i="8"/>
  <c r="C68" i="2"/>
  <c r="C124" i="8"/>
  <c r="C65" i="1"/>
  <c r="C119" i="2"/>
  <c r="C81" i="1"/>
  <c r="C151" i="8"/>
  <c r="C116" i="8"/>
  <c r="C78" i="8"/>
  <c r="C25" i="1"/>
  <c r="C59" i="2"/>
  <c r="C67" i="1"/>
  <c r="C68" i="1"/>
  <c r="C36" i="2"/>
  <c r="C103" i="8"/>
  <c r="C33" i="2"/>
  <c r="C113" i="8"/>
  <c r="C80" i="8"/>
  <c r="C42" i="8"/>
  <c r="C89" i="1"/>
  <c r="C122" i="2"/>
  <c r="C80" i="1"/>
  <c r="C109" i="8"/>
  <c r="C47" i="2"/>
  <c r="C40" i="8"/>
  <c r="C60" i="1"/>
  <c r="C13" i="8"/>
  <c r="C102" i="8"/>
  <c r="C43" i="1"/>
  <c r="C98" i="8"/>
  <c r="C46" i="1"/>
  <c r="C5" i="8"/>
  <c r="C87" i="8"/>
  <c r="C28" i="1"/>
  <c r="C109" i="1"/>
  <c r="C99" i="1"/>
  <c r="C19" i="2"/>
  <c r="C3" i="2"/>
  <c r="C120" i="1"/>
  <c r="C60" i="2"/>
  <c r="C13" i="1"/>
  <c r="C91" i="8"/>
  <c r="C15" i="8"/>
  <c r="C115" i="1"/>
  <c r="C50" i="1"/>
  <c r="C58" i="1"/>
  <c r="C107" i="1"/>
  <c r="C70" i="2"/>
  <c r="C57" i="8"/>
  <c r="C113" i="1"/>
  <c r="C20" i="8"/>
  <c r="C54" i="2"/>
  <c r="C54" i="1"/>
  <c r="C62" i="1"/>
  <c r="C133" i="8"/>
  <c r="C120" i="2"/>
  <c r="C88" i="1"/>
  <c r="C92" i="8"/>
  <c r="C82" i="2"/>
  <c r="C89" i="8"/>
  <c r="C117" i="1"/>
  <c r="C117" i="8"/>
  <c r="C84" i="8"/>
  <c r="C46" i="8"/>
  <c r="C64" i="2"/>
  <c r="C73" i="2"/>
  <c r="C28" i="2"/>
  <c r="C111" i="8"/>
  <c r="C86" i="2"/>
  <c r="C104" i="8"/>
  <c r="C50" i="2"/>
  <c r="C81" i="8"/>
  <c r="C48" i="8"/>
  <c r="C10" i="8"/>
  <c r="C41" i="1"/>
  <c r="C116" i="2"/>
  <c r="C63" i="2"/>
  <c r="C43" i="8"/>
  <c r="C101" i="1"/>
  <c r="C31" i="8"/>
  <c r="C61" i="1"/>
  <c r="C51" i="8"/>
  <c r="C6" i="8"/>
  <c r="C31" i="1"/>
  <c r="C34" i="8"/>
  <c r="C14" i="1"/>
  <c r="C99" i="8"/>
  <c r="C23" i="8"/>
  <c r="C51" i="2"/>
  <c r="C86" i="1"/>
  <c r="C97" i="1"/>
  <c r="C115" i="2"/>
  <c r="C123" i="2"/>
  <c r="C8" i="1"/>
  <c r="C99" i="2"/>
  <c r="C75" i="2"/>
  <c r="C19" i="8"/>
  <c r="C122" i="8"/>
  <c r="C87" i="1"/>
  <c r="C123" i="1"/>
  <c r="C85" i="2"/>
  <c r="C49" i="2"/>
  <c r="C121" i="1"/>
  <c r="C75" i="8"/>
  <c r="C94" i="1"/>
  <c r="D161" i="6"/>
  <c r="C27" i="8"/>
  <c r="C20" i="2"/>
  <c r="C76" i="8"/>
  <c r="C37" i="1"/>
  <c r="C70" i="1"/>
  <c r="C60" i="8"/>
  <c r="C46" i="2"/>
  <c r="C135" i="8"/>
  <c r="C67" i="2"/>
  <c r="C85" i="8"/>
  <c r="C52" i="8"/>
  <c r="C14" i="8"/>
  <c r="C48" i="1"/>
  <c r="C89" i="2"/>
  <c r="C32" i="2"/>
  <c r="C134" i="8"/>
  <c r="C74" i="2"/>
  <c r="C4" i="8"/>
  <c r="C102" i="1"/>
  <c r="C49" i="8"/>
  <c r="C12" i="8"/>
  <c r="C111" i="2"/>
  <c r="C30" i="1"/>
  <c r="C88" i="2"/>
  <c r="C55" i="1"/>
  <c r="C38" i="8"/>
  <c r="C31" i="2"/>
  <c r="C66" i="8"/>
  <c r="C121" i="2"/>
  <c r="C140" i="8"/>
  <c r="C71" i="1"/>
  <c r="C57" i="1"/>
  <c r="C11" i="2"/>
  <c r="C8" i="2"/>
  <c r="C35" i="8"/>
  <c r="C126" i="8"/>
  <c r="C59" i="1"/>
  <c r="C43" i="2"/>
  <c r="C85" i="1"/>
  <c r="C38" i="2"/>
  <c r="C13" i="2"/>
  <c r="C121" i="8"/>
  <c r="C105" i="2"/>
  <c r="C51" i="1"/>
  <c r="C128" i="8"/>
  <c r="C90" i="8"/>
  <c r="C3" i="1"/>
  <c r="C38" i="1"/>
  <c r="C9" i="2"/>
  <c r="C101" i="2"/>
  <c r="C32" i="1"/>
  <c r="C88" i="8"/>
  <c r="C90" i="1"/>
  <c r="D164" i="6"/>
  <c r="C28" i="8"/>
  <c r="C72" i="1"/>
  <c r="C7" i="2"/>
  <c r="C84" i="1"/>
  <c r="C45" i="1"/>
  <c r="C9" i="1"/>
  <c r="C64" i="8"/>
  <c r="C114" i="8"/>
  <c r="C125" i="8"/>
  <c r="C24" i="8"/>
  <c r="C109" i="2"/>
  <c r="C120" i="8"/>
  <c r="C34" i="2"/>
  <c r="C53" i="8"/>
  <c r="C16" i="8"/>
  <c r="C77" i="1"/>
  <c r="C34" i="1"/>
  <c r="C117" i="2"/>
  <c r="C108" i="1"/>
  <c r="C70" i="8"/>
  <c r="C105" i="1"/>
  <c r="C130" i="8"/>
  <c r="C49" i="1"/>
  <c r="C17" i="8"/>
  <c r="C115" i="8"/>
  <c r="C16" i="1"/>
  <c r="C111" i="1"/>
  <c r="C114" i="2"/>
  <c r="C69" i="2"/>
  <c r="C17" i="2"/>
  <c r="C78" i="2"/>
  <c r="C44" i="2"/>
  <c r="C113" i="2"/>
  <c r="C108" i="8"/>
  <c r="C5" i="2"/>
  <c r="C137" i="8"/>
  <c r="C10" i="2"/>
  <c r="C79" i="2"/>
  <c r="C132" i="8"/>
  <c r="C94" i="8"/>
  <c r="C93" i="1"/>
  <c r="C10" i="1"/>
  <c r="C100" i="1"/>
  <c r="C23" i="2"/>
  <c r="C108" i="2"/>
  <c r="C25" i="8"/>
  <c r="C82" i="1"/>
  <c r="C129" i="8"/>
  <c r="C96" i="8"/>
  <c r="C58" i="8"/>
  <c r="C106" i="2"/>
  <c r="C73" i="1"/>
  <c r="C83" i="1"/>
  <c r="C93" i="8"/>
  <c r="C33" i="1"/>
  <c r="C127" i="8"/>
  <c r="C66" i="1"/>
  <c r="D166" i="6"/>
  <c r="C40" i="1"/>
  <c r="C95" i="2"/>
  <c r="C15" i="2"/>
  <c r="C72" i="2"/>
  <c r="C100" i="8"/>
  <c r="C26" i="1"/>
  <c r="C116" i="1"/>
  <c r="D160" i="6"/>
  <c r="C61" i="8"/>
  <c r="C139" i="8"/>
  <c r="C21" i="8"/>
  <c r="C83" i="2"/>
  <c r="C123" i="8"/>
  <c r="C107" i="2"/>
  <c r="C62" i="8"/>
  <c r="C40" i="2"/>
  <c r="C118" i="8"/>
  <c r="C29" i="8"/>
  <c r="C71" i="8"/>
  <c r="C25" i="2"/>
  <c r="C146" i="8"/>
  <c r="C6" i="1"/>
  <c r="C131" i="8"/>
  <c r="C55" i="8"/>
  <c r="C112" i="1"/>
  <c r="C57" i="2"/>
  <c r="C11" i="1"/>
  <c r="C78" i="1"/>
  <c r="C103" i="2"/>
  <c r="C62" i="2"/>
  <c r="C37" i="2"/>
  <c r="C15" i="1"/>
  <c r="C59" i="8"/>
  <c r="C138" i="8"/>
  <c r="C21" i="1"/>
  <c r="C7" i="1"/>
  <c r="C5" i="1"/>
  <c r="C106" i="1"/>
  <c r="C22" i="2"/>
  <c r="C105" i="8"/>
  <c r="C102" i="2"/>
  <c r="C141" i="8"/>
  <c r="C44" i="8"/>
  <c r="C103" i="1"/>
  <c r="C39" i="8"/>
  <c r="C53" i="1"/>
  <c r="C101" i="8"/>
  <c r="C68" i="8"/>
  <c r="C30" i="8"/>
  <c r="C52" i="1"/>
  <c r="C66" i="2"/>
  <c r="C42" i="1"/>
  <c r="C79" i="8"/>
  <c r="C90" i="2"/>
  <c r="C56" i="8"/>
  <c r="C42" i="2"/>
  <c r="C65" i="8"/>
  <c r="C32" i="8"/>
  <c r="C114" i="1"/>
  <c r="C18" i="1"/>
  <c r="C35" i="2"/>
  <c r="C122" i="1"/>
  <c r="C23" i="1"/>
  <c r="C71" i="2"/>
  <c r="C18" i="8"/>
  <c r="C80" i="2"/>
  <c r="D168" i="6"/>
  <c r="D165" i="6"/>
  <c r="C97" i="8"/>
  <c r="C147" i="8"/>
  <c r="C86" i="8"/>
  <c r="C87" i="2"/>
  <c r="C50" i="8"/>
  <c r="C56" i="1"/>
  <c r="C67" i="8"/>
  <c r="C142" i="8"/>
  <c r="C104" i="1"/>
  <c r="C119" i="1"/>
  <c r="C18" i="2"/>
  <c r="C118" i="1"/>
  <c r="C19" i="1"/>
  <c r="C91" i="1"/>
  <c r="C92" i="1"/>
  <c r="C4" i="1"/>
  <c r="C144" i="8"/>
  <c r="C106" i="8"/>
  <c r="C12" i="1"/>
  <c r="C26" i="2"/>
  <c r="C98" i="1"/>
  <c r="C69" i="1"/>
  <c r="C110" i="2"/>
  <c r="C9" i="8"/>
  <c r="C110" i="1"/>
  <c r="C77" i="8"/>
  <c r="C8" i="8"/>
  <c r="C74" i="1"/>
  <c r="C72" i="8"/>
  <c r="C76" i="2"/>
  <c r="C69" i="8"/>
  <c r="C36" i="8"/>
  <c r="C48" i="2"/>
  <c r="C39" i="1"/>
  <c r="C96" i="1"/>
  <c r="C93" i="2"/>
  <c r="C7" i="8"/>
  <c r="C24" i="2"/>
  <c r="C63" i="8"/>
  <c r="C75" i="1"/>
  <c r="C33" i="8"/>
  <c r="C143" i="8"/>
  <c r="C29" i="1"/>
  <c r="C58" i="2"/>
  <c r="C35" i="1"/>
  <c r="C104" i="2"/>
  <c r="C24" i="1"/>
  <c r="C21" i="2"/>
  <c r="C17" i="1"/>
  <c r="C56" i="2"/>
  <c r="D162" i="6"/>
  <c r="D167" i="6"/>
  <c r="C119" i="8"/>
  <c r="C97" i="2"/>
  <c r="C12" i="2"/>
  <c r="C41" i="8"/>
  <c r="C3" i="8"/>
  <c r="C41" i="2"/>
  <c r="D157" i="6"/>
  <c r="D159" i="6"/>
  <c r="D158" i="6"/>
  <c r="D156" i="6"/>
  <c r="D154" i="6"/>
  <c r="D155" i="6"/>
  <c r="D153" i="6"/>
  <c r="D152" i="6"/>
  <c r="D142" i="6"/>
  <c r="D143" i="6"/>
  <c r="D151" i="6"/>
  <c r="D144" i="6"/>
  <c r="D150" i="6"/>
  <c r="D145" i="6"/>
  <c r="D148" i="6"/>
  <c r="D149" i="6"/>
  <c r="D147" i="6"/>
  <c r="D146" i="6"/>
  <c r="D141" i="6"/>
  <c r="D139" i="6"/>
  <c r="D140" i="6"/>
  <c r="D138" i="6"/>
  <c r="D135" i="6"/>
  <c r="D133" i="6"/>
  <c r="D134" i="6"/>
  <c r="D137" i="6"/>
  <c r="D136" i="6"/>
  <c r="D131" i="6"/>
  <c r="D132" i="6"/>
  <c r="D130" i="6"/>
  <c r="D127" i="6"/>
  <c r="D126" i="6"/>
  <c r="D129" i="6"/>
  <c r="D128" i="6"/>
  <c r="D125" i="6"/>
  <c r="D124" i="6"/>
  <c r="D117" i="6"/>
  <c r="D116" i="6"/>
  <c r="D122" i="6"/>
  <c r="D119" i="6"/>
  <c r="D121" i="6"/>
  <c r="D120" i="6"/>
  <c r="D118" i="6"/>
  <c r="D123" i="6"/>
  <c r="D112" i="6"/>
  <c r="D113" i="6"/>
  <c r="D114" i="6"/>
  <c r="D110" i="6"/>
  <c r="D115" i="6"/>
  <c r="D111" i="6"/>
  <c r="D104" i="6"/>
  <c r="D107" i="6"/>
  <c r="D103" i="6"/>
  <c r="D109" i="6"/>
  <c r="D108" i="6"/>
  <c r="D105" i="6"/>
  <c r="D106" i="6"/>
  <c r="D97" i="6"/>
  <c r="D100" i="6"/>
  <c r="D99" i="6"/>
  <c r="D102" i="6"/>
  <c r="D101" i="6"/>
  <c r="D98" i="6"/>
  <c r="D94" i="6"/>
  <c r="D96" i="6"/>
  <c r="D95" i="6"/>
  <c r="D93" i="6"/>
  <c r="D91" i="6"/>
  <c r="D92" i="6"/>
  <c r="D76" i="6"/>
  <c r="D89" i="6"/>
  <c r="D77" i="6"/>
  <c r="D87" i="6"/>
  <c r="D83" i="6"/>
  <c r="D88" i="6"/>
  <c r="D86" i="6"/>
  <c r="D84" i="6"/>
  <c r="D75" i="6"/>
  <c r="D81" i="6"/>
  <c r="D80" i="6"/>
  <c r="D85" i="6"/>
  <c r="D82" i="6"/>
  <c r="D78" i="6"/>
  <c r="D90" i="6"/>
  <c r="D79" i="6"/>
  <c r="D74" i="6"/>
  <c r="D70" i="6"/>
  <c r="D71" i="6"/>
  <c r="D69" i="6"/>
  <c r="D73" i="6"/>
  <c r="D72" i="6"/>
  <c r="D57" i="6"/>
  <c r="D67" i="6"/>
  <c r="D55" i="6"/>
  <c r="D66" i="6"/>
  <c r="D60" i="6"/>
  <c r="D59" i="6"/>
  <c r="D68" i="6"/>
  <c r="D65" i="6"/>
  <c r="D62" i="6"/>
  <c r="D56" i="6"/>
  <c r="D61" i="6"/>
  <c r="D64" i="6"/>
  <c r="D63" i="6"/>
  <c r="D58" i="6"/>
  <c r="D46" i="6"/>
  <c r="D52" i="6"/>
  <c r="D44" i="6"/>
  <c r="D48" i="6"/>
  <c r="D51" i="6"/>
  <c r="D54" i="6"/>
  <c r="D47" i="6"/>
  <c r="D50" i="6"/>
  <c r="D49" i="6"/>
  <c r="D45" i="6"/>
  <c r="D53" i="6"/>
  <c r="D41" i="6"/>
  <c r="D39" i="6"/>
  <c r="D43" i="6"/>
  <c r="D42" i="6"/>
  <c r="D38" i="6"/>
  <c r="D40" i="6"/>
  <c r="D36" i="6"/>
  <c r="D37" i="6"/>
  <c r="D34" i="6"/>
  <c r="D35" i="6"/>
  <c r="D32" i="6"/>
  <c r="D28" i="6"/>
  <c r="D31" i="6"/>
  <c r="D33" i="6"/>
  <c r="D27" i="6"/>
  <c r="D30" i="6"/>
  <c r="D29" i="6"/>
  <c r="D26" i="6"/>
  <c r="D25" i="6"/>
  <c r="D23" i="6"/>
  <c r="D22" i="6"/>
  <c r="D19" i="6"/>
  <c r="D21" i="6"/>
  <c r="D20" i="6"/>
  <c r="D24" i="6"/>
  <c r="D6" i="6"/>
  <c r="D15" i="6"/>
  <c r="D9" i="6"/>
  <c r="D7" i="6"/>
  <c r="D10" i="6"/>
  <c r="D16" i="6"/>
  <c r="D18" i="6"/>
  <c r="D5" i="6"/>
  <c r="D17" i="6"/>
  <c r="D14" i="6"/>
  <c r="D13" i="6"/>
  <c r="D8" i="6"/>
  <c r="D3" i="6"/>
  <c r="D4" i="6"/>
  <c r="D11" i="6"/>
  <c r="D12" i="6"/>
  <c r="E4" i="6" l="1"/>
  <c r="E13" i="6"/>
  <c r="E16" i="6"/>
  <c r="E17" i="6"/>
  <c r="E9" i="6"/>
  <c r="E10" i="6"/>
  <c r="E15" i="6"/>
  <c r="E12" i="6"/>
  <c r="E3" i="6"/>
  <c r="E8" i="6"/>
  <c r="E14" i="6"/>
  <c r="E5" i="6"/>
  <c r="E18" i="6"/>
  <c r="E7" i="6"/>
  <c r="E6" i="6"/>
  <c r="E11" i="6"/>
  <c r="E23" i="6"/>
  <c r="E21" i="6"/>
  <c r="E20" i="6"/>
  <c r="E22" i="6"/>
  <c r="E19" i="6"/>
  <c r="E32" i="6"/>
  <c r="E29" i="6"/>
  <c r="E25" i="6"/>
  <c r="E24" i="6"/>
  <c r="E26" i="6"/>
  <c r="E30" i="6"/>
  <c r="E27" i="6"/>
  <c r="E31" i="6"/>
  <c r="E28" i="6"/>
  <c r="E36" i="6"/>
  <c r="E33" i="6"/>
  <c r="E35" i="6"/>
  <c r="E34" i="6"/>
  <c r="E38" i="6"/>
  <c r="E42" i="6"/>
  <c r="E43" i="6"/>
  <c r="E41" i="6"/>
  <c r="E40" i="6"/>
  <c r="E37" i="6"/>
  <c r="E39" i="6"/>
  <c r="E45" i="6"/>
  <c r="E47" i="6"/>
  <c r="E51" i="6"/>
  <c r="E44" i="6"/>
  <c r="E52" i="6"/>
  <c r="E46" i="6"/>
  <c r="E50" i="6"/>
  <c r="E53" i="6"/>
  <c r="E49" i="6"/>
  <c r="E54" i="6"/>
  <c r="E48" i="6"/>
  <c r="E68" i="6"/>
  <c r="E60" i="6"/>
  <c r="E67" i="6"/>
  <c r="E62" i="6"/>
  <c r="E58" i="6"/>
  <c r="E64" i="6"/>
  <c r="E56" i="6"/>
  <c r="E65" i="6"/>
  <c r="E59" i="6"/>
  <c r="E66" i="6"/>
  <c r="E57" i="6"/>
  <c r="E55" i="6"/>
  <c r="E63" i="6"/>
  <c r="E61" i="6"/>
  <c r="E73" i="6"/>
  <c r="E69" i="6"/>
  <c r="E71" i="6"/>
  <c r="E70" i="6"/>
  <c r="E74" i="6"/>
  <c r="E72" i="6"/>
  <c r="E82" i="6"/>
  <c r="E88" i="6"/>
  <c r="E80" i="6"/>
  <c r="E75" i="6"/>
  <c r="E83" i="6"/>
  <c r="E87" i="6"/>
  <c r="E89" i="6"/>
  <c r="E78" i="6"/>
  <c r="E85" i="6"/>
  <c r="E90" i="6"/>
  <c r="E81" i="6"/>
  <c r="E84" i="6"/>
  <c r="E86" i="6"/>
  <c r="E77" i="6"/>
  <c r="E76" i="6"/>
  <c r="E79" i="6"/>
  <c r="E91" i="6"/>
  <c r="E92" i="6"/>
  <c r="E95" i="6"/>
  <c r="E93" i="6"/>
  <c r="E97" i="6"/>
  <c r="E96" i="6"/>
  <c r="E94" i="6"/>
  <c r="E98" i="6"/>
  <c r="E103" i="6"/>
  <c r="E101" i="6"/>
  <c r="E102" i="6"/>
  <c r="E99" i="6"/>
  <c r="E100" i="6"/>
  <c r="E107" i="6"/>
  <c r="E104" i="6"/>
  <c r="E105" i="6"/>
  <c r="E106" i="6"/>
  <c r="E109" i="6"/>
  <c r="E108" i="6"/>
  <c r="E110" i="6"/>
  <c r="E114" i="6"/>
  <c r="E113" i="6"/>
  <c r="E116" i="6"/>
  <c r="E115" i="6"/>
  <c r="E112" i="6"/>
  <c r="E111" i="6"/>
  <c r="E118" i="6"/>
  <c r="E120" i="6"/>
  <c r="E119" i="6"/>
  <c r="E124" i="6"/>
  <c r="E125" i="6"/>
  <c r="E121" i="6"/>
  <c r="E123" i="6"/>
  <c r="E117" i="6"/>
  <c r="E122" i="6"/>
  <c r="E128" i="6"/>
  <c r="E129" i="6"/>
  <c r="E126" i="6"/>
  <c r="E127" i="6"/>
  <c r="E130" i="6"/>
  <c r="E131" i="6"/>
  <c r="E132" i="6"/>
  <c r="E137" i="6"/>
  <c r="E134" i="6"/>
  <c r="E133" i="6"/>
  <c r="E136" i="6"/>
  <c r="E135" i="6"/>
  <c r="E139" i="6"/>
  <c r="E138" i="6"/>
  <c r="E140" i="6"/>
  <c r="E145" i="6"/>
  <c r="E144" i="6"/>
  <c r="E143" i="6"/>
  <c r="E142" i="6"/>
  <c r="E141" i="6"/>
  <c r="E147" i="6"/>
  <c r="E146" i="6"/>
  <c r="E149" i="6"/>
  <c r="E148" i="6"/>
  <c r="E150" i="6"/>
  <c r="E151" i="6"/>
  <c r="E155" i="6"/>
  <c r="E154" i="6"/>
  <c r="E153" i="6"/>
  <c r="E152" i="6"/>
  <c r="E158" i="6"/>
  <c r="E165" i="6"/>
  <c r="E156" i="6"/>
  <c r="E163" i="6"/>
  <c r="E162" i="6"/>
  <c r="E168" i="6"/>
  <c r="E160" i="6"/>
  <c r="E166" i="6"/>
  <c r="E157" i="6"/>
  <c r="E164" i="6"/>
  <c r="E161" i="6"/>
  <c r="E167" i="6"/>
  <c r="E159" i="6"/>
  <c r="D28" i="8"/>
  <c r="D27" i="8"/>
  <c r="D6" i="8"/>
  <c r="D10" i="8"/>
  <c r="D14" i="8"/>
  <c r="D18" i="8"/>
  <c r="D22" i="8"/>
  <c r="D26" i="8"/>
  <c r="D7" i="8"/>
  <c r="D15" i="8"/>
  <c r="D23" i="8"/>
  <c r="D4" i="8"/>
  <c r="D8" i="8"/>
  <c r="D12" i="8"/>
  <c r="D16" i="8"/>
  <c r="D20" i="8"/>
  <c r="D24" i="8"/>
  <c r="D3" i="8"/>
  <c r="D11" i="8"/>
  <c r="D19" i="8"/>
  <c r="D5" i="8"/>
  <c r="D9" i="8"/>
  <c r="D13" i="8"/>
  <c r="D17" i="8"/>
  <c r="D21" i="8"/>
  <c r="D25" i="8"/>
  <c r="D48" i="1"/>
  <c r="D21" i="1"/>
  <c r="D14" i="2"/>
  <c r="D62" i="2"/>
  <c r="D32" i="2"/>
  <c r="D52" i="2"/>
  <c r="D25" i="2"/>
  <c r="D89" i="2"/>
  <c r="D113" i="1"/>
  <c r="D104" i="1"/>
  <c r="D31" i="1"/>
  <c r="D86" i="1"/>
  <c r="D13" i="1"/>
  <c r="D67" i="1"/>
  <c r="D58" i="1"/>
  <c r="D42" i="2"/>
  <c r="D70" i="2"/>
  <c r="D99" i="2"/>
  <c r="D120" i="2"/>
  <c r="D119" i="2"/>
  <c r="D112" i="2"/>
  <c r="D29" i="2"/>
  <c r="D97" i="1"/>
  <c r="D33" i="1"/>
  <c r="D88" i="1"/>
  <c r="D24" i="1"/>
  <c r="D79" i="1"/>
  <c r="D15" i="1"/>
  <c r="D70" i="1"/>
  <c r="D6" i="1"/>
  <c r="D61" i="1"/>
  <c r="D116" i="1"/>
  <c r="D52" i="1"/>
  <c r="D115" i="1"/>
  <c r="D51" i="1"/>
  <c r="D106" i="1"/>
  <c r="D42" i="1"/>
  <c r="D110" i="2"/>
  <c r="D74" i="2"/>
  <c r="D66" i="2"/>
  <c r="D102" i="2"/>
  <c r="D51" i="2"/>
  <c r="D115" i="2"/>
  <c r="D56" i="2"/>
  <c r="D7" i="2"/>
  <c r="D71" i="2"/>
  <c r="D12" i="2"/>
  <c r="D76" i="2"/>
  <c r="D5" i="2"/>
  <c r="D37" i="2"/>
  <c r="D69" i="2"/>
  <c r="D101" i="2"/>
  <c r="D121" i="1"/>
  <c r="D30" i="1"/>
  <c r="D11" i="1"/>
  <c r="D47" i="2"/>
  <c r="D89" i="1"/>
  <c r="D71" i="1"/>
  <c r="D7" i="1"/>
  <c r="D53" i="1"/>
  <c r="D43" i="1"/>
  <c r="D34" i="1"/>
  <c r="D98" i="2"/>
  <c r="D122" i="2"/>
  <c r="D64" i="2"/>
  <c r="D15" i="2"/>
  <c r="D79" i="2"/>
  <c r="D20" i="2"/>
  <c r="D84" i="2"/>
  <c r="D9" i="2"/>
  <c r="D41" i="2"/>
  <c r="D73" i="2"/>
  <c r="D105" i="2"/>
  <c r="D112" i="1"/>
  <c r="D76" i="1"/>
  <c r="D91" i="2"/>
  <c r="D80" i="1"/>
  <c r="D117" i="1"/>
  <c r="D44" i="1"/>
  <c r="D34" i="2"/>
  <c r="D123" i="2"/>
  <c r="D17" i="1"/>
  <c r="D8" i="1"/>
  <c r="D118" i="1"/>
  <c r="D109" i="1"/>
  <c r="D100" i="1"/>
  <c r="D99" i="1"/>
  <c r="D26" i="1"/>
  <c r="D106" i="2"/>
  <c r="D3" i="2"/>
  <c r="D8" i="2"/>
  <c r="D23" i="2"/>
  <c r="D28" i="2"/>
  <c r="D13" i="2"/>
  <c r="D77" i="2"/>
  <c r="D73" i="1"/>
  <c r="D9" i="1"/>
  <c r="D64" i="1"/>
  <c r="D119" i="1"/>
  <c r="D55" i="1"/>
  <c r="D110" i="1"/>
  <c r="D46" i="1"/>
  <c r="D101" i="1"/>
  <c r="D37" i="1"/>
  <c r="D92" i="1"/>
  <c r="D28" i="1"/>
  <c r="D91" i="1"/>
  <c r="D27" i="1"/>
  <c r="D82" i="1"/>
  <c r="D18" i="1"/>
  <c r="D114" i="2"/>
  <c r="D50" i="2"/>
  <c r="D22" i="2"/>
  <c r="D11" i="2"/>
  <c r="D75" i="2"/>
  <c r="D16" i="2"/>
  <c r="D80" i="2"/>
  <c r="D31" i="2"/>
  <c r="D95" i="2"/>
  <c r="D36" i="2"/>
  <c r="D100" i="2"/>
  <c r="D17" i="2"/>
  <c r="D49" i="2"/>
  <c r="D81" i="2"/>
  <c r="D113" i="2"/>
  <c r="D39" i="1"/>
  <c r="D75" i="1"/>
  <c r="D96" i="2"/>
  <c r="D25" i="1"/>
  <c r="D16" i="1"/>
  <c r="D62" i="1"/>
  <c r="D108" i="1"/>
  <c r="D107" i="1"/>
  <c r="D98" i="1"/>
  <c r="D90" i="2"/>
  <c r="D59" i="2"/>
  <c r="D81" i="1"/>
  <c r="D72" i="1"/>
  <c r="D63" i="1"/>
  <c r="D54" i="1"/>
  <c r="D45" i="1"/>
  <c r="D36" i="1"/>
  <c r="D35" i="1"/>
  <c r="D90" i="1"/>
  <c r="D82" i="2"/>
  <c r="D6" i="2"/>
  <c r="D67" i="2"/>
  <c r="D72" i="2"/>
  <c r="D87" i="2"/>
  <c r="D92" i="2"/>
  <c r="D45" i="2"/>
  <c r="D109" i="2"/>
  <c r="D3" i="1"/>
  <c r="D65" i="1"/>
  <c r="D120" i="1"/>
  <c r="D56" i="1"/>
  <c r="D111" i="1"/>
  <c r="D47" i="1"/>
  <c r="D102" i="1"/>
  <c r="D38" i="1"/>
  <c r="D93" i="1"/>
  <c r="D29" i="1"/>
  <c r="D84" i="1"/>
  <c r="D20" i="1"/>
  <c r="D83" i="1"/>
  <c r="D19" i="1"/>
  <c r="D74" i="1"/>
  <c r="D10" i="1"/>
  <c r="D10" i="2"/>
  <c r="D30" i="2"/>
  <c r="D38" i="2"/>
  <c r="D19" i="2"/>
  <c r="D83" i="2"/>
  <c r="D24" i="2"/>
  <c r="D88" i="2"/>
  <c r="D39" i="2"/>
  <c r="D103" i="2"/>
  <c r="D44" i="2"/>
  <c r="D104" i="2"/>
  <c r="D21" i="2"/>
  <c r="D53" i="2"/>
  <c r="D85" i="2"/>
  <c r="D117" i="2"/>
  <c r="D103" i="1"/>
  <c r="D12" i="1"/>
  <c r="D54" i="2"/>
  <c r="D68" i="1"/>
  <c r="D57" i="1"/>
  <c r="D94" i="1"/>
  <c r="D85" i="1"/>
  <c r="D66" i="1"/>
  <c r="D26" i="2"/>
  <c r="D27" i="2"/>
  <c r="D111" i="2"/>
  <c r="D108" i="2"/>
  <c r="D57" i="2"/>
  <c r="D121" i="2"/>
  <c r="D49" i="1"/>
  <c r="D40" i="1"/>
  <c r="D95" i="1"/>
  <c r="D22" i="1"/>
  <c r="D77" i="1"/>
  <c r="D4" i="1"/>
  <c r="D122" i="1"/>
  <c r="D46" i="2"/>
  <c r="D94" i="2"/>
  <c r="D35" i="2"/>
  <c r="D40" i="2"/>
  <c r="D55" i="2"/>
  <c r="D60" i="2"/>
  <c r="D61" i="2"/>
  <c r="D93" i="2"/>
  <c r="D105" i="1"/>
  <c r="D41" i="1"/>
  <c r="D96" i="1"/>
  <c r="D32" i="1"/>
  <c r="D87" i="1"/>
  <c r="D23" i="1"/>
  <c r="D78" i="1"/>
  <c r="D14" i="1"/>
  <c r="D69" i="1"/>
  <c r="D5" i="1"/>
  <c r="D60" i="1"/>
  <c r="D123" i="1"/>
  <c r="D59" i="1"/>
  <c r="D114" i="1"/>
  <c r="D50" i="1"/>
  <c r="D78" i="2"/>
  <c r="D58" i="2"/>
  <c r="D18" i="2"/>
  <c r="D86" i="2"/>
  <c r="D43" i="2"/>
  <c r="D107" i="2"/>
  <c r="D48" i="2"/>
  <c r="D118" i="2"/>
  <c r="D63" i="2"/>
  <c r="D4" i="2"/>
  <c r="D68" i="2"/>
  <c r="D116" i="2"/>
  <c r="D33" i="2"/>
  <c r="D65" i="2"/>
  <c r="D97" i="2"/>
</calcChain>
</file>

<file path=xl/sharedStrings.xml><?xml version="1.0" encoding="utf-8"?>
<sst xmlns="http://schemas.openxmlformats.org/spreadsheetml/2006/main" count="580" uniqueCount="295">
  <si>
    <t>Fund Name</t>
  </si>
  <si>
    <t>Color</t>
  </si>
  <si>
    <t>RGB</t>
  </si>
  <si>
    <t>Code for Sankey Generator</t>
  </si>
  <si>
    <t>1001 Constitutional Budget Reserve Fund</t>
  </si>
  <si>
    <t>1002 Federal Receipts</t>
  </si>
  <si>
    <t>1003 General Fund Match</t>
  </si>
  <si>
    <t>1004 General Fund Receipts</t>
  </si>
  <si>
    <t>1005 General Fund/Program Receipts</t>
  </si>
  <si>
    <t>1007 Interagency Receipts</t>
  </si>
  <si>
    <t>1013 Alcoholism &amp; Drug Abuse Revolving Loan</t>
  </si>
  <si>
    <t>1014 Donated Commodity/Handling Fee Account</t>
  </si>
  <si>
    <t>1016 CSSD Federal Incentive Payments</t>
  </si>
  <si>
    <t>1017 Benefits Systems Receipts</t>
  </si>
  <si>
    <t>1018 Exxon Valdez Oil Spill Settlement</t>
  </si>
  <si>
    <t>1021 Agricultural Loan Fund</t>
  </si>
  <si>
    <t>1023 FICA Administration Fund Account</t>
  </si>
  <si>
    <t>1024 Fish and Game Fund</t>
  </si>
  <si>
    <t>1026 Highways/Equipment Working Capital Fund</t>
  </si>
  <si>
    <t>1027 International Airport Revenue Fund</t>
  </si>
  <si>
    <t>1029 Public Employees Retirement System Fund</t>
  </si>
  <si>
    <t>1030 School Fund (Cigarette Tax)</t>
  </si>
  <si>
    <t>1031 Second Injury Fund Reserve Account</t>
  </si>
  <si>
    <t>1032 Fishermen's Fund</t>
  </si>
  <si>
    <t>1033 Surplus Property Revolving Fund</t>
  </si>
  <si>
    <t>1034 Teachers Retirement System Fund</t>
  </si>
  <si>
    <t>1036 Commercial Fishing Loan Fund</t>
  </si>
  <si>
    <t>1037 General Fund / Mental Health</t>
  </si>
  <si>
    <t>1040 Real Estate Surety Fund</t>
  </si>
  <si>
    <t>1041 Permanent Fund Earnings Reserve Account</t>
  </si>
  <si>
    <t>1042 Judicial Retirement System</t>
  </si>
  <si>
    <t>1043 Impact Aid for K-12 Schools</t>
  </si>
  <si>
    <t>1045 National Guard &amp; Naval Militia Retirement System</t>
  </si>
  <si>
    <t>1048 University Restricted Receipts</t>
  </si>
  <si>
    <t>1049 Training and Building Fund</t>
  </si>
  <si>
    <t>1050 Permanent Fund Dividend Fund</t>
  </si>
  <si>
    <t>1052 Oil/Hazardous Prevention/Response Fund</t>
  </si>
  <si>
    <t>1054 State Employment &amp; Training Program</t>
  </si>
  <si>
    <t>1055 Interagency/Oil &amp; Hazardous Waste</t>
  </si>
  <si>
    <t>1061 Capital Improvement Project Receipts</t>
  </si>
  <si>
    <t>1062 Power Project Loan Fund</t>
  </si>
  <si>
    <t>1066 Public School Trust Fund</t>
  </si>
  <si>
    <t>1070 Fisheries Enhancement Revolving Loan Fund</t>
  </si>
  <si>
    <t>1074 Bulk Fuel Revolving Loan Fund</t>
  </si>
  <si>
    <t>1075 Alaska Clean Water Loan Fund</t>
  </si>
  <si>
    <t>1076 Marine Highway System Fund</t>
  </si>
  <si>
    <t>1081 Information Services Fund</t>
  </si>
  <si>
    <t>1092 Mental Health Trust Authority Authorized Receipts</t>
  </si>
  <si>
    <t>1093 Clean Air Protection Fund</t>
  </si>
  <si>
    <t>1094 Mental Health Trust Administration</t>
  </si>
  <si>
    <t>1100 Alaska Drinking Water Fund</t>
  </si>
  <si>
    <t>1101 Alaska Aerospace Development Corporation Receipts</t>
  </si>
  <si>
    <t>1102 Alaska Industrial Development &amp; Export Authority Receipts</t>
  </si>
  <si>
    <t>1103 Alaska Housing Finance Corporation Receipts</t>
  </si>
  <si>
    <t>1104 Alaska Municipal Bond Bank Receipts</t>
  </si>
  <si>
    <t>1105 Alaska Permanent Fund Corporation Receipts</t>
  </si>
  <si>
    <t>1106 Alaska Student Loan Corporation Receipts</t>
  </si>
  <si>
    <t>1107 Alaska Energy Authority Corporate Receipts</t>
  </si>
  <si>
    <t>1108 Statutory Designated Program Receipts</t>
  </si>
  <si>
    <t>1109 Test Fisheries Receipts</t>
  </si>
  <si>
    <t>1117 Randolph Sheppard Small Business Fund</t>
  </si>
  <si>
    <t>1133 CSSD Administrative Cost Reimbursement</t>
  </si>
  <si>
    <t>1140 AIDEA Dividend</t>
  </si>
  <si>
    <t>1141 RCA Receipts</t>
  </si>
  <si>
    <t>1144 Clean Water Fund Bond Receipts</t>
  </si>
  <si>
    <t>1145 Art in Public Places Fund</t>
  </si>
  <si>
    <t>1147 Public Building Fund</t>
  </si>
  <si>
    <t>1151 Technical Vocational Education Program Account</t>
  </si>
  <si>
    <t>1153 State Land Disposal Income Fund</t>
  </si>
  <si>
    <t>1154 Shore Fisheries Development Lease Program</t>
  </si>
  <si>
    <t>1155 Timber Sale Receipts</t>
  </si>
  <si>
    <t>1156 Receipt Supported Services</t>
  </si>
  <si>
    <t>1157 Workers Safety and Compensation Administration Account</t>
  </si>
  <si>
    <t>1159 Drinking Water Fund Bond Receipts</t>
  </si>
  <si>
    <t>1162 Alaska Oil &amp; Gas Conservation Commission Rcpts</t>
  </si>
  <si>
    <t>1164 Rural Development Initiative Fund</t>
  </si>
  <si>
    <t>1166 Commercial Passenger Vessel Environmental Compliance Fund</t>
  </si>
  <si>
    <t>1168 Tobacco Use Education and Cessation Fund</t>
  </si>
  <si>
    <t>1169 PCE Endowment Fund</t>
  </si>
  <si>
    <t>1170 Small Business Economic Development Revolving Loan Fund</t>
  </si>
  <si>
    <t>1171 PF Dividend Appropriations in lieu of Dividends to Criminals</t>
  </si>
  <si>
    <t>1172 Building Safety Account</t>
  </si>
  <si>
    <t>1173 Miscellaneous Earnings</t>
  </si>
  <si>
    <t>1174 UA Intra-Agency Transfers</t>
  </si>
  <si>
    <t>1179 Passenger Facility Charges</t>
  </si>
  <si>
    <t>1180 Alcohol &amp; Other Drug Abuse Treatment &amp; Prevention Fund</t>
  </si>
  <si>
    <t>1181 Alaska Veterans' Memorial Endowment Fund</t>
  </si>
  <si>
    <t>1184 General Obligation Bond Debt Service Fund</t>
  </si>
  <si>
    <t>1185 Election Fund (HAVA)</t>
  </si>
  <si>
    <t>1192 Mine Reclamation Trust Fund</t>
  </si>
  <si>
    <t>1198 Alaska Fish and Game Revenue Bond Redemption Fund</t>
  </si>
  <si>
    <t>1199 Alaska Sport Fishing Enterprise Account</t>
  </si>
  <si>
    <t>1200 Vehicle Rental Tax Receipts</t>
  </si>
  <si>
    <t>1201 Commercial Fisheries Entry Commission Receipts</t>
  </si>
  <si>
    <t>1202 Anatomical Gift Awareness Fund</t>
  </si>
  <si>
    <t>1203 Workers' Compensation Benefits Guaranty Fund</t>
  </si>
  <si>
    <t>1205 Berth Fees for the Ocean Ranger Program</t>
  </si>
  <si>
    <t>1206 Commercial Passenger Vessel Tax</t>
  </si>
  <si>
    <t>1210 Renewable Energy Grant Fund</t>
  </si>
  <si>
    <t>1212 Federal Stimulus: ARRA 2009</t>
  </si>
  <si>
    <t>1214 Whittier Tunnel Toll Receipts</t>
  </si>
  <si>
    <t>1215 Uniform Commercial Registration fees</t>
  </si>
  <si>
    <t>1216 Boat Registration Fees</t>
  </si>
  <si>
    <t>1217 NGF Earnings</t>
  </si>
  <si>
    <t>1221 Civil Legal Services Fund</t>
  </si>
  <si>
    <t>1223 Commercial Charter Fisheries RLF</t>
  </si>
  <si>
    <t>1224 Mariculture Revolving Loan Fund</t>
  </si>
  <si>
    <t>1226 Alaska Higher Education Investment Fund</t>
  </si>
  <si>
    <t>1227 Alaska Microloan Revolving Loan Fund</t>
  </si>
  <si>
    <t>1230 Alaska Clean Water Administrative Fund</t>
  </si>
  <si>
    <t>1231 Alaska Drinking Water Administrative Fund</t>
  </si>
  <si>
    <t>1232 In-state Pipeline Fund Interagency</t>
  </si>
  <si>
    <t>1234 License Plates</t>
  </si>
  <si>
    <t>1235 Alaska Liquefied Natural Gas Project Fund (AGDC-LNG)</t>
  </si>
  <si>
    <t>1236 Alaska Liquefied Natural Gas Project Fund I/A (AK LNG I/A)</t>
  </si>
  <si>
    <t>1237 Vocational Rehabilitation Small Bus. Enterprise Revolving Fd</t>
  </si>
  <si>
    <t>1239 Aviation Fuel Tax Revenue</t>
  </si>
  <si>
    <t>1244 Rural Airport Receipts</t>
  </si>
  <si>
    <t>1245 Rural Airport Receipts I/A</t>
  </si>
  <si>
    <t>1246 Recidivism Reduction Fund</t>
  </si>
  <si>
    <t>1247 Medicaid Monetary Recoveries</t>
  </si>
  <si>
    <t>1249 Motor Fuel Tax Receipts</t>
  </si>
  <si>
    <t>1254 Marijuana Education and Treatment Fund</t>
  </si>
  <si>
    <t>1261 Shared Taxes</t>
  </si>
  <si>
    <t>1262 Non-mandatory Royalty Deposits to the Permanent Fund</t>
  </si>
  <si>
    <t>Department</t>
  </si>
  <si>
    <t>RDU Name</t>
  </si>
  <si>
    <t>Governor</t>
  </si>
  <si>
    <t>Administration</t>
  </si>
  <si>
    <t>Law</t>
  </si>
  <si>
    <t>Revenue</t>
  </si>
  <si>
    <t>Educ &amp; Early Devel</t>
  </si>
  <si>
    <t>Labor &amp; Workforce</t>
  </si>
  <si>
    <t>Commerce</t>
  </si>
  <si>
    <t>Military &amp; Veterans Affairs</t>
  </si>
  <si>
    <t>Natural Resources</t>
  </si>
  <si>
    <t>Public Safety</t>
  </si>
  <si>
    <t>Environ Conservation</t>
  </si>
  <si>
    <t>Corrections</t>
  </si>
  <si>
    <t>Transportation</t>
  </si>
  <si>
    <t>Legislature</t>
  </si>
  <si>
    <t>Debt Service</t>
  </si>
  <si>
    <t>Judiciary</t>
  </si>
  <si>
    <t>University of Alaska</t>
  </si>
  <si>
    <t>Fund Capitalization</t>
  </si>
  <si>
    <t>State Retirement Payments</t>
  </si>
  <si>
    <t>Special Appropriations</t>
  </si>
  <si>
    <t>Fund Transfers</t>
  </si>
  <si>
    <t>Permanent Fund</t>
  </si>
  <si>
    <t>Commissions/Special Offices</t>
  </si>
  <si>
    <t>Executive Operations</t>
  </si>
  <si>
    <t>Gov State Facilities Rent</t>
  </si>
  <si>
    <t>Office of Management &amp; Budget</t>
  </si>
  <si>
    <t>Elections</t>
  </si>
  <si>
    <t>Centralized Admin. Services</t>
  </si>
  <si>
    <t>Shared Services of Alaska</t>
  </si>
  <si>
    <t>Office of IT</t>
  </si>
  <si>
    <t>Admin State Facilities Rent</t>
  </si>
  <si>
    <t>Public Communications Services</t>
  </si>
  <si>
    <t>Risk Management</t>
  </si>
  <si>
    <t>Legal &amp; Advocacy Services</t>
  </si>
  <si>
    <t>Alaska Public Offices Comm</t>
  </si>
  <si>
    <t>Division of Motor Vehicles</t>
  </si>
  <si>
    <t xml:space="preserve">Legal Contracts </t>
  </si>
  <si>
    <t>Criminal Division</t>
  </si>
  <si>
    <t>Civil Division</t>
  </si>
  <si>
    <t>Administration and Support</t>
  </si>
  <si>
    <t>Taxation and Treasury</t>
  </si>
  <si>
    <t>Child Support Services</t>
  </si>
  <si>
    <t>Mental Health Trust Authority</t>
  </si>
  <si>
    <t>AK Municipal Bond Bank Auth</t>
  </si>
  <si>
    <t>Alaska Housing Finance Corp</t>
  </si>
  <si>
    <t>AK Permanent Fund Corporation</t>
  </si>
  <si>
    <t>K-12 Aid to School Districts</t>
  </si>
  <si>
    <t>K-12 Support</t>
  </si>
  <si>
    <t>Education Support and Adm Svcs</t>
  </si>
  <si>
    <t>Alaska Council on the Arts</t>
  </si>
  <si>
    <t>Commissions and Boards</t>
  </si>
  <si>
    <t>Mt. Edgecumbe Boarding School</t>
  </si>
  <si>
    <t>State Facilities Maintenance</t>
  </si>
  <si>
    <t>AK LAM</t>
  </si>
  <si>
    <t>Alaska Postsecondary Education</t>
  </si>
  <si>
    <t>AK Performance Scholarship Awd</t>
  </si>
  <si>
    <t>Alaska Student Loan Corporation</t>
  </si>
  <si>
    <t>Alaska Pioneer Homes</t>
  </si>
  <si>
    <t>AK Psychiatric Institute</t>
  </si>
  <si>
    <t>Behavioral Health</t>
  </si>
  <si>
    <t>Children's Services</t>
  </si>
  <si>
    <t>Health Care Services</t>
  </si>
  <si>
    <t>Juvenile Justice</t>
  </si>
  <si>
    <t>Public Assistance</t>
  </si>
  <si>
    <t>Senior Benefits Payment Program</t>
  </si>
  <si>
    <t>Public Health</t>
  </si>
  <si>
    <t>Senior and Disabilities Svcs</t>
  </si>
  <si>
    <t>Departmental Support Services</t>
  </si>
  <si>
    <t>Human Svcs Comm Matching Grant</t>
  </si>
  <si>
    <t>Community Initiative Grants</t>
  </si>
  <si>
    <t>Medicaid Svs</t>
  </si>
  <si>
    <t>Commissioner and Administrative</t>
  </si>
  <si>
    <t>Workers' Compensation</t>
  </si>
  <si>
    <t>Labor Standards and Safety</t>
  </si>
  <si>
    <t>Employment &amp; Training Svcs</t>
  </si>
  <si>
    <t>Vocational Rehabilitation</t>
  </si>
  <si>
    <t>AVTEC</t>
  </si>
  <si>
    <t>Executive Admin and Dev</t>
  </si>
  <si>
    <t>Banking and Securities</t>
  </si>
  <si>
    <t>Community and Regional Affairs</t>
  </si>
  <si>
    <t>Revenue Sharing</t>
  </si>
  <si>
    <t>Corp, Bus &amp; Prof Licenses</t>
  </si>
  <si>
    <t>Economic Development</t>
  </si>
  <si>
    <t>Investments</t>
  </si>
  <si>
    <t>Insurance</t>
  </si>
  <si>
    <t>AK Oil &amp; Gas Conservation Comm</t>
  </si>
  <si>
    <t>Alcohol and Marijuana Control</t>
  </si>
  <si>
    <t>Ak Gasline Development</t>
  </si>
  <si>
    <t>Alaska Energy Authority</t>
  </si>
  <si>
    <t>AIDEA</t>
  </si>
  <si>
    <t>Alaska Seafood Marketing Inst</t>
  </si>
  <si>
    <t>Reg Comm of Ak</t>
  </si>
  <si>
    <t>DCCED State Facilities Rent</t>
  </si>
  <si>
    <t>Alaska Aerospace Corp</t>
  </si>
  <si>
    <t>Oil and Gas</t>
  </si>
  <si>
    <t>Fire Land and Water Resources</t>
  </si>
  <si>
    <t>Agriculture</t>
  </si>
  <si>
    <t>Parks and Outdoor Recreation</t>
  </si>
  <si>
    <t>Commercial Fisheries</t>
  </si>
  <si>
    <t>Sport Fisheries</t>
  </si>
  <si>
    <t>Wildlife Conservation</t>
  </si>
  <si>
    <t>Statewide Support Services</t>
  </si>
  <si>
    <t>Habitat</t>
  </si>
  <si>
    <t>Subsistence Research &amp; Monitori</t>
  </si>
  <si>
    <t>Fire and Life Safety</t>
  </si>
  <si>
    <t>Alaska State Troopers</t>
  </si>
  <si>
    <t>Village Public Safety Officers</t>
  </si>
  <si>
    <t>AK Police Standards Council</t>
  </si>
  <si>
    <t>Domestic Viol/Sexual Assault</t>
  </si>
  <si>
    <t>Statewide Support</t>
  </si>
  <si>
    <t>DEC Bldgs Maint &amp; Operations</t>
  </si>
  <si>
    <t>Environmental Health</t>
  </si>
  <si>
    <t>Air Quality</t>
  </si>
  <si>
    <t>Spill Prevention and Response</t>
  </si>
  <si>
    <t>Water</t>
  </si>
  <si>
    <t>Facility-Cap Improvement Unit</t>
  </si>
  <si>
    <t>Population Management</t>
  </si>
  <si>
    <t>Health and Rehab Services</t>
  </si>
  <si>
    <t>Offender Habilitation</t>
  </si>
  <si>
    <t>Recidivism Reduction Grants</t>
  </si>
  <si>
    <t>24 Hr Inst Utilities</t>
  </si>
  <si>
    <t>State Equipment Fleet</t>
  </si>
  <si>
    <t>International Airports</t>
  </si>
  <si>
    <t>Marine Highway System</t>
  </si>
  <si>
    <t>Budget and Audit Committee</t>
  </si>
  <si>
    <t>Legislative Council</t>
  </si>
  <si>
    <t>Legislative Operating Budget</t>
  </si>
  <si>
    <t>Lease Purchase Obligations</t>
  </si>
  <si>
    <t>Revenue Bonds</t>
  </si>
  <si>
    <t>Capital Projects(AS 42.45.065)</t>
  </si>
  <si>
    <t>GO Bonds</t>
  </si>
  <si>
    <t>School Debt</t>
  </si>
  <si>
    <t>Alaska Court System</t>
  </si>
  <si>
    <t>Therapeutic Courts</t>
  </si>
  <si>
    <t>Commission on Judicial Conduct</t>
  </si>
  <si>
    <t>Judicial Council</t>
  </si>
  <si>
    <t>Fund Caps (no approps out)</t>
  </si>
  <si>
    <t>Caps spent as duplicated funds</t>
  </si>
  <si>
    <t>PERS State Assistance</t>
  </si>
  <si>
    <t>TRS State Assistance</t>
  </si>
  <si>
    <t>EPORS</t>
  </si>
  <si>
    <t>Judicial Retirement System</t>
  </si>
  <si>
    <t>Shared Taxes</t>
  </si>
  <si>
    <t>OpSys DGF Transfers (non-add)</t>
  </si>
  <si>
    <t>OpSys Other Transfers (non-add)</t>
  </si>
  <si>
    <t>Permanent Fund Corpus</t>
  </si>
  <si>
    <t>PF Inflation Proofing</t>
  </si>
  <si>
    <t>Highways, Aviation and Facilities</t>
  </si>
  <si>
    <t>Design, Engineering and Construction</t>
  </si>
  <si>
    <t>Violent Crimes Comp Board</t>
  </si>
  <si>
    <t>Facilities Services</t>
  </si>
  <si>
    <t>Budget Reductions/Additions</t>
  </si>
  <si>
    <t>Enterprise Entities</t>
  </si>
  <si>
    <t>Univ of Alaska Anchorage</t>
  </si>
  <si>
    <t>Univ of Alaska Fairbanks</t>
  </si>
  <si>
    <t>Univ of Alaska Southeast</t>
  </si>
  <si>
    <t>DEPARTMENT</t>
  </si>
  <si>
    <t>Health</t>
  </si>
  <si>
    <t>Family &amp; Community Services</t>
  </si>
  <si>
    <t>Community Residential Centers</t>
  </si>
  <si>
    <t>Electronic Monitoring</t>
  </si>
  <si>
    <t>Univ of Alaska Anchorage CC</t>
  </si>
  <si>
    <t>Univ of Alaska Fairbanks CC</t>
  </si>
  <si>
    <t>Fish &amp; Game</t>
  </si>
  <si>
    <t>Central Svcs Cost Allocation</t>
  </si>
  <si>
    <t>Health &amp; Social Services</t>
  </si>
  <si>
    <t>UA System Office</t>
  </si>
  <si>
    <t>General Fund (Revenue)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</si>
</sst>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700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B6A1FF"/>
        <bgColor indexed="64"/>
      </patternFill>
    </fill>
    <fill>
      <patternFill patternType="solid">
        <fgColor rgb="FFFFFF05"/>
        <bgColor indexed="64"/>
      </patternFill>
    </fill>
    <fill>
      <patternFill patternType="solid">
        <fgColor rgb="FFFF6006"/>
        <bgColor indexed="64"/>
      </patternFill>
    </fill>
    <fill>
      <patternFill patternType="solid">
        <fgColor rgb="FF1900FD"/>
        <bgColor indexed="64"/>
      </patternFill>
    </fill>
    <fill>
      <patternFill patternType="solid">
        <fgColor rgb="FF00F22A"/>
        <bgColor indexed="64"/>
      </patternFill>
    </fill>
    <fill>
      <patternFill patternType="solid">
        <fgColor rgb="FF007FD4"/>
        <bgColor indexed="64"/>
      </patternFill>
    </fill>
    <fill>
      <patternFill patternType="solid">
        <fgColor rgb="FF6DB102"/>
        <bgColor indexed="64"/>
      </patternFill>
    </fill>
    <fill>
      <patternFill patternType="solid">
        <fgColor rgb="FF913EE1"/>
        <bgColor indexed="64"/>
      </patternFill>
    </fill>
    <fill>
      <patternFill patternType="solid">
        <fgColor rgb="FF4710A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808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3" fillId="2" borderId="1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/>
    <xf numFmtId="0" fontId="3" fillId="2" borderId="3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0" borderId="0" xfId="0" applyFill="1"/>
    <xf numFmtId="0" fontId="0" fillId="0" borderId="0" xfId="0" applyFill="1" applyBorder="1"/>
    <xf numFmtId="0" fontId="0" fillId="2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80"/>
      <color rgb="FF009999"/>
      <color rgb="FFCC00CC"/>
      <color rgb="FFFFCC66"/>
      <color rgb="FFCC9900"/>
      <color rgb="FF66FFCC"/>
      <color rgb="FFFF66CC"/>
      <color rgb="FF4710A2"/>
      <color rgb="FF913EE1"/>
      <color rgb="FF6DB1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0</xdr:row>
          <xdr:rowOff>66675</xdr:rowOff>
        </xdr:from>
        <xdr:to>
          <xdr:col>1</xdr:col>
          <xdr:colOff>2914650</xdr:colOff>
          <xdr:row>0</xdr:row>
          <xdr:rowOff>666750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BF2B-C3F6-4EC6-AA59-6CE994908C1E}">
  <sheetPr codeName="Sheet2"/>
  <dimension ref="A1:D123"/>
  <sheetViews>
    <sheetView topLeftCell="A16" zoomScale="95" workbookViewId="0">
      <selection activeCell="D12" sqref="D10:D12"/>
    </sheetView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2" customFormat="1" ht="15.7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9"/>
      <c r="C3" s="1" t="str">
        <f>getRGB2(B3)</f>
        <v>255,0,0</v>
      </c>
      <c r="D3" t="str">
        <f>CONCATENATE( "link_color_list[i].push({link_label: """, A3, """, link_color: ""rgba(",C3,",0.2)"" }) ")</f>
        <v xml:space="preserve">link_color_list[i].push({link_label: "1001 Constitutional Budget Reserve Fund", link_color: "rgba(255,0,0,0.2)" }) </v>
      </c>
    </row>
    <row r="4" spans="1:4">
      <c r="A4" t="s">
        <v>5</v>
      </c>
      <c r="B4" s="10"/>
      <c r="C4" s="1" t="str">
        <f t="shared" ref="C4:C67" si="0">getRGB2(B4)</f>
        <v>0,0,96</v>
      </c>
      <c r="D4" t="str">
        <f t="shared" ref="D4:D67" si="1">CONCATENATE( "link_color_list[i].push({link_label: """, A4, """, link_color: ""rgba(",C4,",0.2)"" }) ")</f>
        <v xml:space="preserve">link_color_list[i].push({link_label: "1002 Federal Receipts", link_color: "rgba(0,0,96,0.2)" }) </v>
      </c>
    </row>
    <row r="5" spans="1:4">
      <c r="A5" t="s">
        <v>6</v>
      </c>
      <c r="B5" s="9"/>
      <c r="C5" s="1" t="str">
        <f t="shared" si="0"/>
        <v>255,0,0</v>
      </c>
      <c r="D5" t="str">
        <f t="shared" si="1"/>
        <v xml:space="preserve">link_color_list[i].push({link_label: "1003 General Fund Match", link_color: "rgba(255,0,0,0.2)" }) </v>
      </c>
    </row>
    <row r="6" spans="1:4">
      <c r="A6" t="s">
        <v>7</v>
      </c>
      <c r="B6" s="9"/>
      <c r="C6" s="1" t="str">
        <f t="shared" si="0"/>
        <v>255,0,0</v>
      </c>
      <c r="D6" t="str">
        <f t="shared" si="1"/>
        <v xml:space="preserve">link_color_list[i].push({link_label: "1004 General Fund Receipts", link_color: "rgba(255,0,0,0.2)" }) </v>
      </c>
    </row>
    <row r="7" spans="1:4">
      <c r="A7" t="s">
        <v>8</v>
      </c>
      <c r="B7" s="10"/>
      <c r="C7" s="1" t="str">
        <f t="shared" si="0"/>
        <v>0,0,96</v>
      </c>
      <c r="D7" t="str">
        <f t="shared" si="1"/>
        <v xml:space="preserve">link_color_list[i].push({link_label: "1005 General Fund/Program Receipts", link_color: "rgba(0,0,96,0.2)" }) </v>
      </c>
    </row>
    <row r="8" spans="1:4">
      <c r="A8" t="s">
        <v>9</v>
      </c>
      <c r="B8" s="10"/>
      <c r="C8" s="1" t="str">
        <f t="shared" si="0"/>
        <v>0,0,96</v>
      </c>
      <c r="D8" t="str">
        <f t="shared" si="1"/>
        <v xml:space="preserve">link_color_list[i].push({link_label: "1007 Interagency Receipts", link_color: "rgba(0,0,96,0.2)" }) </v>
      </c>
    </row>
    <row r="9" spans="1:4">
      <c r="A9" t="s">
        <v>10</v>
      </c>
      <c r="B9" s="10"/>
      <c r="C9" s="1" t="str">
        <f t="shared" si="0"/>
        <v>0,0,96</v>
      </c>
      <c r="D9" t="str">
        <f t="shared" si="1"/>
        <v xml:space="preserve">link_color_list[i].push({link_label: "1013 Alcoholism &amp; Drug Abuse Revolving Loan", link_color: "rgba(0,0,96,0.2)" }) </v>
      </c>
    </row>
    <row r="10" spans="1:4">
      <c r="A10" t="s">
        <v>11</v>
      </c>
      <c r="B10" s="10"/>
      <c r="C10" s="1" t="str">
        <f t="shared" si="0"/>
        <v>0,0,96</v>
      </c>
      <c r="D10" t="str">
        <f t="shared" si="1"/>
        <v xml:space="preserve">link_color_list[i].push({link_label: "1014 Donated Commodity/Handling Fee Account", link_color: "rgba(0,0,96,0.2)" }) </v>
      </c>
    </row>
    <row r="11" spans="1:4">
      <c r="A11" t="s">
        <v>12</v>
      </c>
      <c r="B11" s="10"/>
      <c r="C11" s="1" t="str">
        <f t="shared" si="0"/>
        <v>0,0,96</v>
      </c>
      <c r="D11" t="str">
        <f t="shared" si="1"/>
        <v xml:space="preserve">link_color_list[i].push({link_label: "1016 CSSD Federal Incentive Payments", link_color: "rgba(0,0,96,0.2)" }) </v>
      </c>
    </row>
    <row r="12" spans="1:4">
      <c r="A12" t="s">
        <v>13</v>
      </c>
      <c r="B12" s="10"/>
      <c r="C12" s="1" t="str">
        <f t="shared" si="0"/>
        <v>0,0,96</v>
      </c>
      <c r="D12" t="str">
        <f t="shared" si="1"/>
        <v xml:space="preserve">link_color_list[i].push({link_label: "1017 Benefits Systems Receipts", link_color: "rgba(0,0,96,0.2)" }) </v>
      </c>
    </row>
    <row r="13" spans="1:4">
      <c r="A13" t="s">
        <v>14</v>
      </c>
      <c r="B13" s="10"/>
      <c r="C13" s="1" t="str">
        <f t="shared" si="0"/>
        <v>0,0,96</v>
      </c>
      <c r="D13" t="str">
        <f t="shared" si="1"/>
        <v xml:space="preserve">link_color_list[i].push({link_label: "1018 Exxon Valdez Oil Spill Settlement", link_color: "rgba(0,0,96,0.2)" }) </v>
      </c>
    </row>
    <row r="14" spans="1:4">
      <c r="A14" t="s">
        <v>15</v>
      </c>
      <c r="B14" s="10"/>
      <c r="C14" s="1" t="str">
        <f t="shared" si="0"/>
        <v>0,0,96</v>
      </c>
      <c r="D14" t="str">
        <f t="shared" si="1"/>
        <v xml:space="preserve">link_color_list[i].push({link_label: "1021 Agricultural Loan Fund", link_color: "rgba(0,0,96,0.2)" }) </v>
      </c>
    </row>
    <row r="15" spans="1:4">
      <c r="A15" t="s">
        <v>16</v>
      </c>
      <c r="B15" s="10"/>
      <c r="C15" s="1" t="str">
        <f t="shared" si="0"/>
        <v>0,0,96</v>
      </c>
      <c r="D15" t="str">
        <f t="shared" si="1"/>
        <v xml:space="preserve">link_color_list[i].push({link_label: "1023 FICA Administration Fund Account", link_color: "rgba(0,0,96,0.2)" }) </v>
      </c>
    </row>
    <row r="16" spans="1:4">
      <c r="A16" t="s">
        <v>17</v>
      </c>
      <c r="B16" s="10"/>
      <c r="C16" s="1" t="str">
        <f t="shared" si="0"/>
        <v>0,0,96</v>
      </c>
      <c r="D16" t="str">
        <f t="shared" si="1"/>
        <v xml:space="preserve">link_color_list[i].push({link_label: "1024 Fish and Game Fund", link_color: "rgba(0,0,96,0.2)" }) </v>
      </c>
    </row>
    <row r="17" spans="1:4">
      <c r="A17" t="s">
        <v>18</v>
      </c>
      <c r="B17" s="10"/>
      <c r="C17" s="1" t="str">
        <f t="shared" si="0"/>
        <v>0,0,96</v>
      </c>
      <c r="D17" t="str">
        <f t="shared" si="1"/>
        <v xml:space="preserve">link_color_list[i].push({link_label: "1026 Highways/Equipment Working Capital Fund", link_color: "rgba(0,0,96,0.2)" }) </v>
      </c>
    </row>
    <row r="18" spans="1:4">
      <c r="A18" t="s">
        <v>19</v>
      </c>
      <c r="B18" s="10"/>
      <c r="C18" s="1" t="str">
        <f t="shared" si="0"/>
        <v>0,0,96</v>
      </c>
      <c r="D18" t="str">
        <f t="shared" si="1"/>
        <v xml:space="preserve">link_color_list[i].push({link_label: "1027 International Airport Revenue Fund", link_color: "rgba(0,0,96,0.2)" }) </v>
      </c>
    </row>
    <row r="19" spans="1:4">
      <c r="A19" t="s">
        <v>20</v>
      </c>
      <c r="B19" s="10"/>
      <c r="C19" s="1" t="str">
        <f t="shared" si="0"/>
        <v>0,0,96</v>
      </c>
      <c r="D19" t="str">
        <f t="shared" si="1"/>
        <v xml:space="preserve">link_color_list[i].push({link_label: "1029 Public Employees Retirement System Fund", link_color: "rgba(0,0,96,0.2)" }) </v>
      </c>
    </row>
    <row r="20" spans="1:4">
      <c r="A20" t="s">
        <v>21</v>
      </c>
      <c r="B20" s="10"/>
      <c r="C20" s="1" t="str">
        <f t="shared" si="0"/>
        <v>0,0,96</v>
      </c>
      <c r="D20" t="str">
        <f t="shared" si="1"/>
        <v xml:space="preserve">link_color_list[i].push({link_label: "1030 School Fund (Cigarette Tax)", link_color: "rgba(0,0,96,0.2)" }) </v>
      </c>
    </row>
    <row r="21" spans="1:4">
      <c r="A21" t="s">
        <v>22</v>
      </c>
      <c r="B21" s="10"/>
      <c r="C21" s="1" t="str">
        <f t="shared" si="0"/>
        <v>0,0,96</v>
      </c>
      <c r="D21" t="str">
        <f t="shared" si="1"/>
        <v xml:space="preserve">link_color_list[i].push({link_label: "1031 Second Injury Fund Reserve Account", link_color: "rgba(0,0,96,0.2)" }) </v>
      </c>
    </row>
    <row r="22" spans="1:4">
      <c r="A22" t="s">
        <v>23</v>
      </c>
      <c r="B22" s="10"/>
      <c r="C22" s="1" t="str">
        <f t="shared" si="0"/>
        <v>0,0,96</v>
      </c>
      <c r="D22" t="str">
        <f t="shared" si="1"/>
        <v xml:space="preserve">link_color_list[i].push({link_label: "1032 Fishermen's Fund", link_color: "rgba(0,0,96,0.2)" }) </v>
      </c>
    </row>
    <row r="23" spans="1:4">
      <c r="A23" t="s">
        <v>24</v>
      </c>
      <c r="B23" s="10"/>
      <c r="C23" s="1" t="str">
        <f t="shared" si="0"/>
        <v>0,0,96</v>
      </c>
      <c r="D23" t="str">
        <f t="shared" si="1"/>
        <v xml:space="preserve">link_color_list[i].push({link_label: "1033 Surplus Property Revolving Fund", link_color: "rgba(0,0,96,0.2)" }) </v>
      </c>
    </row>
    <row r="24" spans="1:4">
      <c r="A24" t="s">
        <v>25</v>
      </c>
      <c r="B24" s="10"/>
      <c r="C24" s="1" t="str">
        <f t="shared" si="0"/>
        <v>0,0,96</v>
      </c>
      <c r="D24" t="str">
        <f t="shared" si="1"/>
        <v xml:space="preserve">link_color_list[i].push({link_label: "1034 Teachers Retirement System Fund", link_color: "rgba(0,0,96,0.2)" }) </v>
      </c>
    </row>
    <row r="25" spans="1:4">
      <c r="A25" t="s">
        <v>26</v>
      </c>
      <c r="B25" s="10"/>
      <c r="C25" s="1" t="str">
        <f t="shared" si="0"/>
        <v>0,0,96</v>
      </c>
      <c r="D25" t="str">
        <f t="shared" si="1"/>
        <v xml:space="preserve">link_color_list[i].push({link_label: "1036 Commercial Fishing Loan Fund", link_color: "rgba(0,0,96,0.2)" }) </v>
      </c>
    </row>
    <row r="26" spans="1:4">
      <c r="A26" t="s">
        <v>27</v>
      </c>
      <c r="B26" s="10"/>
      <c r="C26" s="1" t="str">
        <f t="shared" si="0"/>
        <v>0,0,96</v>
      </c>
      <c r="D26" t="str">
        <f t="shared" si="1"/>
        <v xml:space="preserve">link_color_list[i].push({link_label: "1037 General Fund / Mental Health", link_color: "rgba(0,0,96,0.2)" }) </v>
      </c>
    </row>
    <row r="27" spans="1:4">
      <c r="A27" t="s">
        <v>28</v>
      </c>
      <c r="B27" s="10"/>
      <c r="C27" s="1" t="str">
        <f t="shared" si="0"/>
        <v>0,0,96</v>
      </c>
      <c r="D27" t="str">
        <f t="shared" si="1"/>
        <v xml:space="preserve">link_color_list[i].push({link_label: "1040 Real Estate Surety Fund", link_color: "rgba(0,0,96,0.2)" }) </v>
      </c>
    </row>
    <row r="28" spans="1:4">
      <c r="A28" t="s">
        <v>29</v>
      </c>
      <c r="B28" s="10"/>
      <c r="C28" s="1" t="str">
        <f t="shared" si="0"/>
        <v>0,0,96</v>
      </c>
      <c r="D28" t="str">
        <f t="shared" si="1"/>
        <v xml:space="preserve">link_color_list[i].push({link_label: "1041 Permanent Fund Earnings Reserve Account", link_color: "rgba(0,0,96,0.2)" }) </v>
      </c>
    </row>
    <row r="29" spans="1:4">
      <c r="A29" t="s">
        <v>30</v>
      </c>
      <c r="B29" s="10"/>
      <c r="C29" s="1" t="str">
        <f t="shared" si="0"/>
        <v>0,0,96</v>
      </c>
      <c r="D29" t="str">
        <f t="shared" si="1"/>
        <v xml:space="preserve">link_color_list[i].push({link_label: "1042 Judicial Retirement System", link_color: "rgba(0,0,96,0.2)" }) </v>
      </c>
    </row>
    <row r="30" spans="1:4">
      <c r="A30" t="s">
        <v>31</v>
      </c>
      <c r="B30" s="10"/>
      <c r="C30" s="1" t="str">
        <f t="shared" si="0"/>
        <v>0,0,96</v>
      </c>
      <c r="D30" t="str">
        <f t="shared" si="1"/>
        <v xml:space="preserve">link_color_list[i].push({link_label: "1043 Impact Aid for K-12 Schools", link_color: "rgba(0,0,96,0.2)" }) </v>
      </c>
    </row>
    <row r="31" spans="1:4">
      <c r="A31" t="s">
        <v>32</v>
      </c>
      <c r="B31" s="10"/>
      <c r="C31" s="1" t="str">
        <f t="shared" si="0"/>
        <v>0,0,96</v>
      </c>
      <c r="D31" t="str">
        <f t="shared" si="1"/>
        <v xml:space="preserve">link_color_list[i].push({link_label: "1045 National Guard &amp; Naval Militia Retirement System", link_color: "rgba(0,0,96,0.2)" }) </v>
      </c>
    </row>
    <row r="32" spans="1:4">
      <c r="A32" t="s">
        <v>33</v>
      </c>
      <c r="B32" s="10"/>
      <c r="C32" s="1" t="str">
        <f t="shared" si="0"/>
        <v>0,0,96</v>
      </c>
      <c r="D32" t="str">
        <f t="shared" si="1"/>
        <v xml:space="preserve">link_color_list[i].push({link_label: "1048 University Restricted Receipts", link_color: "rgba(0,0,96,0.2)" }) </v>
      </c>
    </row>
    <row r="33" spans="1:4">
      <c r="A33" t="s">
        <v>34</v>
      </c>
      <c r="B33" s="10"/>
      <c r="C33" s="1" t="str">
        <f t="shared" si="0"/>
        <v>0,0,96</v>
      </c>
      <c r="D33" t="str">
        <f t="shared" si="1"/>
        <v xml:space="preserve">link_color_list[i].push({link_label: "1049 Training and Building Fund", link_color: "rgba(0,0,96,0.2)" }) </v>
      </c>
    </row>
    <row r="34" spans="1:4">
      <c r="A34" t="s">
        <v>35</v>
      </c>
      <c r="B34" s="10"/>
      <c r="C34" s="1" t="str">
        <f t="shared" si="0"/>
        <v>0,0,96</v>
      </c>
      <c r="D34" t="str">
        <f t="shared" si="1"/>
        <v xml:space="preserve">link_color_list[i].push({link_label: "1050 Permanent Fund Dividend Fund", link_color: "rgba(0,0,96,0.2)" }) </v>
      </c>
    </row>
    <row r="35" spans="1:4">
      <c r="A35" t="s">
        <v>36</v>
      </c>
      <c r="B35" s="10"/>
      <c r="C35" s="1" t="str">
        <f t="shared" si="0"/>
        <v>0,0,96</v>
      </c>
      <c r="D35" t="str">
        <f t="shared" si="1"/>
        <v xml:space="preserve">link_color_list[i].push({link_label: "1052 Oil/Hazardous Prevention/Response Fund", link_color: "rgba(0,0,96,0.2)" }) </v>
      </c>
    </row>
    <row r="36" spans="1:4">
      <c r="A36" t="s">
        <v>37</v>
      </c>
      <c r="B36" s="10"/>
      <c r="C36" s="1" t="str">
        <f t="shared" si="0"/>
        <v>0,0,96</v>
      </c>
      <c r="D36" t="str">
        <f t="shared" si="1"/>
        <v xml:space="preserve">link_color_list[i].push({link_label: "1054 State Employment &amp; Training Program", link_color: "rgba(0,0,96,0.2)" }) </v>
      </c>
    </row>
    <row r="37" spans="1:4">
      <c r="A37" t="s">
        <v>38</v>
      </c>
      <c r="B37" s="10"/>
      <c r="C37" s="1" t="str">
        <f t="shared" si="0"/>
        <v>0,0,96</v>
      </c>
      <c r="D37" t="str">
        <f t="shared" si="1"/>
        <v xml:space="preserve">link_color_list[i].push({link_label: "1055 Interagency/Oil &amp; Hazardous Waste", link_color: "rgba(0,0,96,0.2)" }) </v>
      </c>
    </row>
    <row r="38" spans="1:4">
      <c r="A38" t="s">
        <v>39</v>
      </c>
      <c r="B38" s="10"/>
      <c r="C38" s="1" t="str">
        <f t="shared" si="0"/>
        <v>0,0,96</v>
      </c>
      <c r="D38" t="str">
        <f t="shared" si="1"/>
        <v xml:space="preserve">link_color_list[i].push({link_label: "1061 Capital Improvement Project Receipts", link_color: "rgba(0,0,96,0.2)" }) </v>
      </c>
    </row>
    <row r="39" spans="1:4">
      <c r="A39" t="s">
        <v>40</v>
      </c>
      <c r="B39" s="10"/>
      <c r="C39" s="1" t="str">
        <f t="shared" si="0"/>
        <v>0,0,96</v>
      </c>
      <c r="D39" t="str">
        <f t="shared" si="1"/>
        <v xml:space="preserve">link_color_list[i].push({link_label: "1062 Power Project Loan Fund", link_color: "rgba(0,0,96,0.2)" }) </v>
      </c>
    </row>
    <row r="40" spans="1:4">
      <c r="A40" t="s">
        <v>41</v>
      </c>
      <c r="B40" s="10"/>
      <c r="C40" s="1" t="str">
        <f t="shared" si="0"/>
        <v>0,0,96</v>
      </c>
      <c r="D40" t="str">
        <f t="shared" si="1"/>
        <v xml:space="preserve">link_color_list[i].push({link_label: "1066 Public School Trust Fund", link_color: "rgba(0,0,96,0.2)" }) </v>
      </c>
    </row>
    <row r="41" spans="1:4">
      <c r="A41" t="s">
        <v>42</v>
      </c>
      <c r="B41" s="10"/>
      <c r="C41" s="1" t="str">
        <f t="shared" si="0"/>
        <v>0,0,96</v>
      </c>
      <c r="D41" t="str">
        <f t="shared" si="1"/>
        <v xml:space="preserve">link_color_list[i].push({link_label: "1070 Fisheries Enhancement Revolving Loan Fund", link_color: "rgba(0,0,96,0.2)" }) </v>
      </c>
    </row>
    <row r="42" spans="1:4">
      <c r="A42" t="s">
        <v>43</v>
      </c>
      <c r="B42" s="10"/>
      <c r="C42" s="1" t="str">
        <f t="shared" si="0"/>
        <v>0,0,96</v>
      </c>
      <c r="D42" t="str">
        <f t="shared" si="1"/>
        <v xml:space="preserve">link_color_list[i].push({link_label: "1074 Bulk Fuel Revolving Loan Fund", link_color: "rgba(0,0,96,0.2)" }) </v>
      </c>
    </row>
    <row r="43" spans="1:4">
      <c r="A43" t="s">
        <v>44</v>
      </c>
      <c r="B43" s="10"/>
      <c r="C43" s="1" t="str">
        <f t="shared" si="0"/>
        <v>0,0,96</v>
      </c>
      <c r="D43" t="str">
        <f t="shared" si="1"/>
        <v xml:space="preserve">link_color_list[i].push({link_label: "1075 Alaska Clean Water Loan Fund", link_color: "rgba(0,0,96,0.2)" }) </v>
      </c>
    </row>
    <row r="44" spans="1:4">
      <c r="A44" t="s">
        <v>45</v>
      </c>
      <c r="B44" s="10"/>
      <c r="C44" s="1" t="str">
        <f t="shared" si="0"/>
        <v>0,0,96</v>
      </c>
      <c r="D44" t="str">
        <f t="shared" si="1"/>
        <v xml:space="preserve">link_color_list[i].push({link_label: "1076 Marine Highway System Fund", link_color: "rgba(0,0,96,0.2)" }) </v>
      </c>
    </row>
    <row r="45" spans="1:4">
      <c r="A45" t="s">
        <v>46</v>
      </c>
      <c r="B45" s="10"/>
      <c r="C45" s="1" t="str">
        <f t="shared" si="0"/>
        <v>0,0,96</v>
      </c>
      <c r="D45" t="str">
        <f t="shared" si="1"/>
        <v xml:space="preserve">link_color_list[i].push({link_label: "1081 Information Services Fund", link_color: "rgba(0,0,96,0.2)" }) </v>
      </c>
    </row>
    <row r="46" spans="1:4">
      <c r="A46" t="s">
        <v>47</v>
      </c>
      <c r="B46" s="10"/>
      <c r="C46" s="1" t="str">
        <f t="shared" si="0"/>
        <v>0,0,96</v>
      </c>
      <c r="D46" t="str">
        <f t="shared" si="1"/>
        <v xml:space="preserve">link_color_list[i].push({link_label: "1092 Mental Health Trust Authority Authorized Receipts", link_color: "rgba(0,0,96,0.2)" }) </v>
      </c>
    </row>
    <row r="47" spans="1:4">
      <c r="A47" t="s">
        <v>48</v>
      </c>
      <c r="B47" s="10"/>
      <c r="C47" s="1" t="str">
        <f t="shared" si="0"/>
        <v>0,0,96</v>
      </c>
      <c r="D47" t="str">
        <f t="shared" si="1"/>
        <v xml:space="preserve">link_color_list[i].push({link_label: "1093 Clean Air Protection Fund", link_color: "rgba(0,0,96,0.2)" }) </v>
      </c>
    </row>
    <row r="48" spans="1:4">
      <c r="A48" t="s">
        <v>49</v>
      </c>
      <c r="B48" s="10"/>
      <c r="C48" s="1" t="str">
        <f t="shared" si="0"/>
        <v>0,0,96</v>
      </c>
      <c r="D48" t="str">
        <f t="shared" si="1"/>
        <v xml:space="preserve">link_color_list[i].push({link_label: "1094 Mental Health Trust Administration", link_color: "rgba(0,0,96,0.2)" }) </v>
      </c>
    </row>
    <row r="49" spans="1:4">
      <c r="A49" t="s">
        <v>50</v>
      </c>
      <c r="B49" s="10"/>
      <c r="C49" s="1" t="str">
        <f t="shared" si="0"/>
        <v>0,0,96</v>
      </c>
      <c r="D49" t="str">
        <f t="shared" si="1"/>
        <v xml:space="preserve">link_color_list[i].push({link_label: "1100 Alaska Drinking Water Fund", link_color: "rgba(0,0,96,0.2)" }) </v>
      </c>
    </row>
    <row r="50" spans="1:4">
      <c r="A50" t="s">
        <v>51</v>
      </c>
      <c r="B50" s="10"/>
      <c r="C50" s="1" t="str">
        <f t="shared" si="0"/>
        <v>0,0,96</v>
      </c>
      <c r="D50" t="str">
        <f t="shared" si="1"/>
        <v xml:space="preserve">link_color_list[i].push({link_label: "1101 Alaska Aerospace Development Corporation Receipts", link_color: "rgba(0,0,96,0.2)" }) </v>
      </c>
    </row>
    <row r="51" spans="1:4">
      <c r="A51" t="s">
        <v>52</v>
      </c>
      <c r="B51" s="10"/>
      <c r="C51" s="1" t="str">
        <f t="shared" si="0"/>
        <v>0,0,96</v>
      </c>
      <c r="D51" t="str">
        <f t="shared" si="1"/>
        <v xml:space="preserve">link_color_list[i].push({link_label: "1102 Alaska Industrial Development &amp; Export Authority Receipts", link_color: "rgba(0,0,96,0.2)" }) </v>
      </c>
    </row>
    <row r="52" spans="1:4">
      <c r="A52" t="s">
        <v>53</v>
      </c>
      <c r="B52" s="10"/>
      <c r="C52" s="1" t="str">
        <f t="shared" si="0"/>
        <v>0,0,96</v>
      </c>
      <c r="D52" t="str">
        <f t="shared" si="1"/>
        <v xml:space="preserve">link_color_list[i].push({link_label: "1103 Alaska Housing Finance Corporation Receipts", link_color: "rgba(0,0,96,0.2)" }) </v>
      </c>
    </row>
    <row r="53" spans="1:4">
      <c r="A53" t="s">
        <v>54</v>
      </c>
      <c r="B53" s="10"/>
      <c r="C53" s="1" t="str">
        <f t="shared" si="0"/>
        <v>0,0,96</v>
      </c>
      <c r="D53" t="str">
        <f t="shared" si="1"/>
        <v xml:space="preserve">link_color_list[i].push({link_label: "1104 Alaska Municipal Bond Bank Receipts", link_color: "rgba(0,0,96,0.2)" }) </v>
      </c>
    </row>
    <row r="54" spans="1:4">
      <c r="A54" t="s">
        <v>55</v>
      </c>
      <c r="B54" s="10"/>
      <c r="C54" s="1" t="str">
        <f t="shared" si="0"/>
        <v>0,0,96</v>
      </c>
      <c r="D54" t="str">
        <f t="shared" si="1"/>
        <v xml:space="preserve">link_color_list[i].push({link_label: "1105 Alaska Permanent Fund Corporation Receipts", link_color: "rgba(0,0,96,0.2)" }) </v>
      </c>
    </row>
    <row r="55" spans="1:4">
      <c r="A55" t="s">
        <v>56</v>
      </c>
      <c r="B55" s="10"/>
      <c r="C55" s="1" t="str">
        <f t="shared" si="0"/>
        <v>0,0,96</v>
      </c>
      <c r="D55" t="str">
        <f t="shared" si="1"/>
        <v xml:space="preserve">link_color_list[i].push({link_label: "1106 Alaska Student Loan Corporation Receipts", link_color: "rgba(0,0,96,0.2)" }) </v>
      </c>
    </row>
    <row r="56" spans="1:4">
      <c r="A56" t="s">
        <v>57</v>
      </c>
      <c r="B56" s="10"/>
      <c r="C56" s="1" t="str">
        <f t="shared" si="0"/>
        <v>0,0,96</v>
      </c>
      <c r="D56" t="str">
        <f t="shared" si="1"/>
        <v xml:space="preserve">link_color_list[i].push({link_label: "1107 Alaska Energy Authority Corporate Receipts", link_color: "rgba(0,0,96,0.2)" }) </v>
      </c>
    </row>
    <row r="57" spans="1:4">
      <c r="A57" t="s">
        <v>58</v>
      </c>
      <c r="B57" s="10"/>
      <c r="C57" s="1" t="str">
        <f t="shared" si="0"/>
        <v>0,0,96</v>
      </c>
      <c r="D57" t="str">
        <f t="shared" si="1"/>
        <v xml:space="preserve">link_color_list[i].push({link_label: "1108 Statutory Designated Program Receipts", link_color: "rgba(0,0,96,0.2)" }) </v>
      </c>
    </row>
    <row r="58" spans="1:4">
      <c r="A58" t="s">
        <v>59</v>
      </c>
      <c r="B58" s="10"/>
      <c r="C58" s="1" t="str">
        <f t="shared" si="0"/>
        <v>0,0,96</v>
      </c>
      <c r="D58" t="str">
        <f t="shared" si="1"/>
        <v xml:space="preserve">link_color_list[i].push({link_label: "1109 Test Fisheries Receipts", link_color: "rgba(0,0,96,0.2)" }) </v>
      </c>
    </row>
    <row r="59" spans="1:4">
      <c r="A59" t="s">
        <v>60</v>
      </c>
      <c r="B59" s="10"/>
      <c r="C59" s="1" t="str">
        <f t="shared" si="0"/>
        <v>0,0,96</v>
      </c>
      <c r="D59" t="str">
        <f t="shared" si="1"/>
        <v xml:space="preserve">link_color_list[i].push({link_label: "1117 Randolph Sheppard Small Business Fund", link_color: "rgba(0,0,96,0.2)" }) </v>
      </c>
    </row>
    <row r="60" spans="1:4">
      <c r="A60" t="s">
        <v>61</v>
      </c>
      <c r="B60" s="10"/>
      <c r="C60" s="1" t="str">
        <f t="shared" si="0"/>
        <v>0,0,96</v>
      </c>
      <c r="D60" t="str">
        <f t="shared" si="1"/>
        <v xml:space="preserve">link_color_list[i].push({link_label: "1133 CSSD Administrative Cost Reimbursement", link_color: "rgba(0,0,96,0.2)" }) </v>
      </c>
    </row>
    <row r="61" spans="1:4">
      <c r="A61" t="s">
        <v>62</v>
      </c>
      <c r="B61" s="10"/>
      <c r="C61" s="1" t="str">
        <f t="shared" si="0"/>
        <v>0,0,96</v>
      </c>
      <c r="D61" t="str">
        <f t="shared" si="1"/>
        <v xml:space="preserve">link_color_list[i].push({link_label: "1140 AIDEA Dividend", link_color: "rgba(0,0,96,0.2)" }) </v>
      </c>
    </row>
    <row r="62" spans="1:4">
      <c r="A62" t="s">
        <v>63</v>
      </c>
      <c r="B62" s="10"/>
      <c r="C62" s="1" t="str">
        <f t="shared" si="0"/>
        <v>0,0,96</v>
      </c>
      <c r="D62" t="str">
        <f t="shared" si="1"/>
        <v xml:space="preserve">link_color_list[i].push({link_label: "1141 RCA Receipts", link_color: "rgba(0,0,96,0.2)" }) </v>
      </c>
    </row>
    <row r="63" spans="1:4">
      <c r="A63" t="s">
        <v>64</v>
      </c>
      <c r="B63" s="10"/>
      <c r="C63" s="1" t="str">
        <f t="shared" si="0"/>
        <v>0,0,96</v>
      </c>
      <c r="D63" t="str">
        <f t="shared" si="1"/>
        <v xml:space="preserve">link_color_list[i].push({link_label: "1144 Clean Water Fund Bond Receipts", link_color: "rgba(0,0,96,0.2)" }) </v>
      </c>
    </row>
    <row r="64" spans="1:4">
      <c r="A64" t="s">
        <v>65</v>
      </c>
      <c r="B64" s="10"/>
      <c r="C64" s="1" t="str">
        <f t="shared" si="0"/>
        <v>0,0,96</v>
      </c>
      <c r="D64" t="str">
        <f t="shared" si="1"/>
        <v xml:space="preserve">link_color_list[i].push({link_label: "1145 Art in Public Places Fund", link_color: "rgba(0,0,96,0.2)" }) </v>
      </c>
    </row>
    <row r="65" spans="1:4">
      <c r="A65" t="s">
        <v>66</v>
      </c>
      <c r="B65" s="10"/>
      <c r="C65" s="1" t="str">
        <f t="shared" si="0"/>
        <v>0,0,96</v>
      </c>
      <c r="D65" t="str">
        <f t="shared" si="1"/>
        <v xml:space="preserve">link_color_list[i].push({link_label: "1147 Public Building Fund", link_color: "rgba(0,0,96,0.2)" }) </v>
      </c>
    </row>
    <row r="66" spans="1:4">
      <c r="A66" t="s">
        <v>67</v>
      </c>
      <c r="B66" s="10"/>
      <c r="C66" s="1" t="str">
        <f t="shared" si="0"/>
        <v>0,0,96</v>
      </c>
      <c r="D66" t="str">
        <f t="shared" si="1"/>
        <v xml:space="preserve">link_color_list[i].push({link_label: "1151 Technical Vocational Education Program Account", link_color: "rgba(0,0,96,0.2)" }) </v>
      </c>
    </row>
    <row r="67" spans="1:4">
      <c r="A67" t="s">
        <v>68</v>
      </c>
      <c r="B67" s="10"/>
      <c r="C67" s="1" t="str">
        <f t="shared" si="0"/>
        <v>0,0,96</v>
      </c>
      <c r="D67" t="str">
        <f t="shared" si="1"/>
        <v xml:space="preserve">link_color_list[i].push({link_label: "1153 State Land Disposal Income Fund", link_color: "rgba(0,0,96,0.2)" }) </v>
      </c>
    </row>
    <row r="68" spans="1:4">
      <c r="A68" t="s">
        <v>69</v>
      </c>
      <c r="B68" s="10"/>
      <c r="C68" s="1" t="str">
        <f t="shared" ref="C68:C123" si="2">getRGB2(B68)</f>
        <v>0,0,96</v>
      </c>
      <c r="D68" t="str">
        <f t="shared" ref="D68:D123" si="3">CONCATENATE( "link_color_list[i].push({link_label: """, A68, """, link_color: ""rgba(",C68,",0.2)"" }) ")</f>
        <v xml:space="preserve">link_color_list[i].push({link_label: "1154 Shore Fisheries Development Lease Program", link_color: "rgba(0,0,96,0.2)" }) </v>
      </c>
    </row>
    <row r="69" spans="1:4">
      <c r="A69" t="s">
        <v>70</v>
      </c>
      <c r="B69" s="10"/>
      <c r="C69" s="1" t="str">
        <f t="shared" si="2"/>
        <v>0,0,96</v>
      </c>
      <c r="D69" t="str">
        <f t="shared" si="3"/>
        <v xml:space="preserve">link_color_list[i].push({link_label: "1155 Timber Sale Receipts", link_color: "rgba(0,0,96,0.2)" }) </v>
      </c>
    </row>
    <row r="70" spans="1:4">
      <c r="A70" t="s">
        <v>71</v>
      </c>
      <c r="B70" s="10"/>
      <c r="C70" s="1" t="str">
        <f t="shared" si="2"/>
        <v>0,0,96</v>
      </c>
      <c r="D70" t="str">
        <f t="shared" si="3"/>
        <v xml:space="preserve">link_color_list[i].push({link_label: "1156 Receipt Supported Services", link_color: "rgba(0,0,96,0.2)" }) </v>
      </c>
    </row>
    <row r="71" spans="1:4">
      <c r="A71" t="s">
        <v>72</v>
      </c>
      <c r="B71" s="10"/>
      <c r="C71" s="1" t="str">
        <f t="shared" si="2"/>
        <v>0,0,96</v>
      </c>
      <c r="D71" t="str">
        <f t="shared" si="3"/>
        <v xml:space="preserve">link_color_list[i].push({link_label: "1157 Workers Safety and Compensation Administration Account", link_color: "rgba(0,0,96,0.2)" }) </v>
      </c>
    </row>
    <row r="72" spans="1:4">
      <c r="A72" t="s">
        <v>73</v>
      </c>
      <c r="B72" s="10"/>
      <c r="C72" s="1" t="str">
        <f t="shared" si="2"/>
        <v>0,0,96</v>
      </c>
      <c r="D72" t="str">
        <f t="shared" si="3"/>
        <v xml:space="preserve">link_color_list[i].push({link_label: "1159 Drinking Water Fund Bond Receipts", link_color: "rgba(0,0,96,0.2)" }) </v>
      </c>
    </row>
    <row r="73" spans="1:4">
      <c r="A73" t="s">
        <v>74</v>
      </c>
      <c r="B73" s="10"/>
      <c r="C73" s="1" t="str">
        <f t="shared" si="2"/>
        <v>0,0,96</v>
      </c>
      <c r="D73" t="str">
        <f t="shared" si="3"/>
        <v xml:space="preserve">link_color_list[i].push({link_label: "1162 Alaska Oil &amp; Gas Conservation Commission Rcpts", link_color: "rgba(0,0,96,0.2)" }) </v>
      </c>
    </row>
    <row r="74" spans="1:4">
      <c r="A74" t="s">
        <v>75</v>
      </c>
      <c r="B74" s="10"/>
      <c r="C74" s="1" t="str">
        <f t="shared" si="2"/>
        <v>0,0,96</v>
      </c>
      <c r="D74" t="str">
        <f t="shared" si="3"/>
        <v xml:space="preserve">link_color_list[i].push({link_label: "1164 Rural Development Initiative Fund", link_color: "rgba(0,0,96,0.2)" }) </v>
      </c>
    </row>
    <row r="75" spans="1:4">
      <c r="A75" t="s">
        <v>76</v>
      </c>
      <c r="B75" s="10"/>
      <c r="C75" s="1" t="str">
        <f t="shared" si="2"/>
        <v>0,0,96</v>
      </c>
      <c r="D75" t="str">
        <f t="shared" si="3"/>
        <v xml:space="preserve">link_color_list[i].push({link_label: "1166 Commercial Passenger Vessel Environmental Compliance Fund", link_color: "rgba(0,0,96,0.2)" }) </v>
      </c>
    </row>
    <row r="76" spans="1:4">
      <c r="A76" t="s">
        <v>77</v>
      </c>
      <c r="B76" s="10"/>
      <c r="C76" s="1" t="str">
        <f t="shared" si="2"/>
        <v>0,0,96</v>
      </c>
      <c r="D76" t="str">
        <f t="shared" si="3"/>
        <v xml:space="preserve">link_color_list[i].push({link_label: "1168 Tobacco Use Education and Cessation Fund", link_color: "rgba(0,0,96,0.2)" }) </v>
      </c>
    </row>
    <row r="77" spans="1:4">
      <c r="A77" t="s">
        <v>78</v>
      </c>
      <c r="B77" s="10"/>
      <c r="C77" s="1" t="str">
        <f t="shared" si="2"/>
        <v>0,0,96</v>
      </c>
      <c r="D77" t="str">
        <f t="shared" si="3"/>
        <v xml:space="preserve">link_color_list[i].push({link_label: "1169 PCE Endowment Fund", link_color: "rgba(0,0,96,0.2)" }) </v>
      </c>
    </row>
    <row r="78" spans="1:4">
      <c r="A78" t="s">
        <v>79</v>
      </c>
      <c r="B78" s="10"/>
      <c r="C78" s="1" t="str">
        <f t="shared" si="2"/>
        <v>0,0,96</v>
      </c>
      <c r="D78" t="str">
        <f t="shared" si="3"/>
        <v xml:space="preserve">link_color_list[i].push({link_label: "1170 Small Business Economic Development Revolving Loan Fund", link_color: "rgba(0,0,96,0.2)" }) </v>
      </c>
    </row>
    <row r="79" spans="1:4">
      <c r="A79" t="s">
        <v>80</v>
      </c>
      <c r="B79" s="10"/>
      <c r="C79" s="1" t="str">
        <f t="shared" si="2"/>
        <v>0,0,96</v>
      </c>
      <c r="D79" t="str">
        <f t="shared" si="3"/>
        <v xml:space="preserve">link_color_list[i].push({link_label: "1171 PF Dividend Appropriations in lieu of Dividends to Criminals", link_color: "rgba(0,0,96,0.2)" }) </v>
      </c>
    </row>
    <row r="80" spans="1:4">
      <c r="A80" t="s">
        <v>81</v>
      </c>
      <c r="B80" s="10"/>
      <c r="C80" s="1" t="str">
        <f t="shared" si="2"/>
        <v>0,0,96</v>
      </c>
      <c r="D80" t="str">
        <f t="shared" si="3"/>
        <v xml:space="preserve">link_color_list[i].push({link_label: "1172 Building Safety Account", link_color: "rgba(0,0,96,0.2)" }) </v>
      </c>
    </row>
    <row r="81" spans="1:4">
      <c r="A81" t="s">
        <v>82</v>
      </c>
      <c r="B81" s="10"/>
      <c r="C81" s="1" t="str">
        <f t="shared" si="2"/>
        <v>0,0,96</v>
      </c>
      <c r="D81" t="str">
        <f t="shared" si="3"/>
        <v xml:space="preserve">link_color_list[i].push({link_label: "1173 Miscellaneous Earnings", link_color: "rgba(0,0,96,0.2)" }) </v>
      </c>
    </row>
    <row r="82" spans="1:4">
      <c r="A82" t="s">
        <v>83</v>
      </c>
      <c r="B82" s="10"/>
      <c r="C82" s="1" t="str">
        <f t="shared" si="2"/>
        <v>0,0,96</v>
      </c>
      <c r="D82" t="str">
        <f t="shared" si="3"/>
        <v xml:space="preserve">link_color_list[i].push({link_label: "1174 UA Intra-Agency Transfers", link_color: "rgba(0,0,96,0.2)" }) </v>
      </c>
    </row>
    <row r="83" spans="1:4">
      <c r="A83" t="s">
        <v>84</v>
      </c>
      <c r="B83" s="10"/>
      <c r="C83" s="1" t="str">
        <f t="shared" si="2"/>
        <v>0,0,96</v>
      </c>
      <c r="D83" t="str">
        <f t="shared" si="3"/>
        <v xml:space="preserve">link_color_list[i].push({link_label: "1179 Passenger Facility Charges", link_color: "rgba(0,0,96,0.2)" }) </v>
      </c>
    </row>
    <row r="84" spans="1:4">
      <c r="A84" t="s">
        <v>85</v>
      </c>
      <c r="B84" s="10"/>
      <c r="C84" s="1" t="str">
        <f t="shared" si="2"/>
        <v>0,0,96</v>
      </c>
      <c r="D84" t="str">
        <f t="shared" si="3"/>
        <v xml:space="preserve">link_color_list[i].push({link_label: "1180 Alcohol &amp; Other Drug Abuse Treatment &amp; Prevention Fund", link_color: "rgba(0,0,96,0.2)" }) </v>
      </c>
    </row>
    <row r="85" spans="1:4">
      <c r="A85" t="s">
        <v>86</v>
      </c>
      <c r="B85" s="10"/>
      <c r="C85" s="1" t="str">
        <f t="shared" si="2"/>
        <v>0,0,96</v>
      </c>
      <c r="D85" t="str">
        <f t="shared" si="3"/>
        <v xml:space="preserve">link_color_list[i].push({link_label: "1181 Alaska Veterans' Memorial Endowment Fund", link_color: "rgba(0,0,96,0.2)" }) </v>
      </c>
    </row>
    <row r="86" spans="1:4">
      <c r="A86" t="s">
        <v>87</v>
      </c>
      <c r="B86" s="10"/>
      <c r="C86" s="1" t="str">
        <f t="shared" si="2"/>
        <v>0,0,96</v>
      </c>
      <c r="D86" t="str">
        <f t="shared" si="3"/>
        <v xml:space="preserve">link_color_list[i].push({link_label: "1184 General Obligation Bond Debt Service Fund", link_color: "rgba(0,0,96,0.2)" }) </v>
      </c>
    </row>
    <row r="87" spans="1:4">
      <c r="A87" t="s">
        <v>88</v>
      </c>
      <c r="B87" s="10"/>
      <c r="C87" s="1" t="str">
        <f t="shared" si="2"/>
        <v>0,0,96</v>
      </c>
      <c r="D87" t="str">
        <f t="shared" si="3"/>
        <v xml:space="preserve">link_color_list[i].push({link_label: "1185 Election Fund (HAVA)", link_color: "rgba(0,0,96,0.2)" }) </v>
      </c>
    </row>
    <row r="88" spans="1:4">
      <c r="A88" t="s">
        <v>89</v>
      </c>
      <c r="B88" s="10"/>
      <c r="C88" s="1" t="str">
        <f t="shared" si="2"/>
        <v>0,0,96</v>
      </c>
      <c r="D88" t="str">
        <f t="shared" si="3"/>
        <v xml:space="preserve">link_color_list[i].push({link_label: "1192 Mine Reclamation Trust Fund", link_color: "rgba(0,0,96,0.2)" }) </v>
      </c>
    </row>
    <row r="89" spans="1:4">
      <c r="A89" t="s">
        <v>90</v>
      </c>
      <c r="B89" s="10"/>
      <c r="C89" s="1" t="str">
        <f t="shared" si="2"/>
        <v>0,0,96</v>
      </c>
      <c r="D89" t="str">
        <f t="shared" si="3"/>
        <v xml:space="preserve">link_color_list[i].push({link_label: "1198 Alaska Fish and Game Revenue Bond Redemption Fund", link_color: "rgba(0,0,96,0.2)" }) </v>
      </c>
    </row>
    <row r="90" spans="1:4">
      <c r="A90" t="s">
        <v>91</v>
      </c>
      <c r="B90" s="10"/>
      <c r="C90" s="1" t="str">
        <f t="shared" si="2"/>
        <v>0,0,96</v>
      </c>
      <c r="D90" t="str">
        <f t="shared" si="3"/>
        <v xml:space="preserve">link_color_list[i].push({link_label: "1199 Alaska Sport Fishing Enterprise Account", link_color: "rgba(0,0,96,0.2)" }) </v>
      </c>
    </row>
    <row r="91" spans="1:4">
      <c r="A91" t="s">
        <v>92</v>
      </c>
      <c r="B91" s="10"/>
      <c r="C91" s="1" t="str">
        <f t="shared" si="2"/>
        <v>0,0,96</v>
      </c>
      <c r="D91" t="str">
        <f t="shared" si="3"/>
        <v xml:space="preserve">link_color_list[i].push({link_label: "1200 Vehicle Rental Tax Receipts", link_color: "rgba(0,0,96,0.2)" }) </v>
      </c>
    </row>
    <row r="92" spans="1:4">
      <c r="A92" t="s">
        <v>93</v>
      </c>
      <c r="B92" s="10"/>
      <c r="C92" s="1" t="str">
        <f t="shared" si="2"/>
        <v>0,0,96</v>
      </c>
      <c r="D92" t="str">
        <f t="shared" si="3"/>
        <v xml:space="preserve">link_color_list[i].push({link_label: "1201 Commercial Fisheries Entry Commission Receipts", link_color: "rgba(0,0,96,0.2)" }) </v>
      </c>
    </row>
    <row r="93" spans="1:4">
      <c r="A93" t="s">
        <v>94</v>
      </c>
      <c r="B93" s="10"/>
      <c r="C93" s="1" t="str">
        <f t="shared" si="2"/>
        <v>0,0,96</v>
      </c>
      <c r="D93" t="str">
        <f t="shared" si="3"/>
        <v xml:space="preserve">link_color_list[i].push({link_label: "1202 Anatomical Gift Awareness Fund", link_color: "rgba(0,0,96,0.2)" }) </v>
      </c>
    </row>
    <row r="94" spans="1:4">
      <c r="A94" t="s">
        <v>95</v>
      </c>
      <c r="B94" s="10"/>
      <c r="C94" s="1" t="str">
        <f t="shared" si="2"/>
        <v>0,0,96</v>
      </c>
      <c r="D94" t="str">
        <f t="shared" si="3"/>
        <v xml:space="preserve">link_color_list[i].push({link_label: "1203 Workers' Compensation Benefits Guaranty Fund", link_color: "rgba(0,0,96,0.2)" }) </v>
      </c>
    </row>
    <row r="95" spans="1:4">
      <c r="A95" t="s">
        <v>96</v>
      </c>
      <c r="B95" s="10"/>
      <c r="C95" s="1" t="str">
        <f t="shared" si="2"/>
        <v>0,0,96</v>
      </c>
      <c r="D95" t="str">
        <f t="shared" si="3"/>
        <v xml:space="preserve">link_color_list[i].push({link_label: "1205 Berth Fees for the Ocean Ranger Program", link_color: "rgba(0,0,96,0.2)" }) </v>
      </c>
    </row>
    <row r="96" spans="1:4">
      <c r="A96" t="s">
        <v>97</v>
      </c>
      <c r="B96" s="10"/>
      <c r="C96" s="1" t="str">
        <f t="shared" si="2"/>
        <v>0,0,96</v>
      </c>
      <c r="D96" t="str">
        <f t="shared" si="3"/>
        <v xml:space="preserve">link_color_list[i].push({link_label: "1206 Commercial Passenger Vessel Tax", link_color: "rgba(0,0,96,0.2)" }) </v>
      </c>
    </row>
    <row r="97" spans="1:4">
      <c r="A97" t="s">
        <v>98</v>
      </c>
      <c r="B97" s="10"/>
      <c r="C97" s="1" t="str">
        <f t="shared" si="2"/>
        <v>0,0,96</v>
      </c>
      <c r="D97" t="str">
        <f t="shared" si="3"/>
        <v xml:space="preserve">link_color_list[i].push({link_label: "1210 Renewable Energy Grant Fund", link_color: "rgba(0,0,96,0.2)" }) </v>
      </c>
    </row>
    <row r="98" spans="1:4">
      <c r="A98" t="s">
        <v>99</v>
      </c>
      <c r="B98" s="10"/>
      <c r="C98" s="1" t="str">
        <f t="shared" si="2"/>
        <v>0,0,96</v>
      </c>
      <c r="D98" t="str">
        <f t="shared" si="3"/>
        <v xml:space="preserve">link_color_list[i].push({link_label: "1212 Federal Stimulus: ARRA 2009", link_color: "rgba(0,0,96,0.2)" }) </v>
      </c>
    </row>
    <row r="99" spans="1:4">
      <c r="A99" t="s">
        <v>100</v>
      </c>
      <c r="B99" s="10"/>
      <c r="C99" s="1" t="str">
        <f t="shared" si="2"/>
        <v>0,0,96</v>
      </c>
      <c r="D99" t="str">
        <f t="shared" si="3"/>
        <v xml:space="preserve">link_color_list[i].push({link_label: "1214 Whittier Tunnel Toll Receipts", link_color: "rgba(0,0,96,0.2)" }) </v>
      </c>
    </row>
    <row r="100" spans="1:4">
      <c r="A100" t="s">
        <v>101</v>
      </c>
      <c r="B100" s="10"/>
      <c r="C100" s="1" t="str">
        <f t="shared" si="2"/>
        <v>0,0,96</v>
      </c>
      <c r="D100" t="str">
        <f t="shared" si="3"/>
        <v xml:space="preserve">link_color_list[i].push({link_label: "1215 Uniform Commercial Registration fees", link_color: "rgba(0,0,96,0.2)" }) </v>
      </c>
    </row>
    <row r="101" spans="1:4">
      <c r="A101" t="s">
        <v>102</v>
      </c>
      <c r="B101" s="10"/>
      <c r="C101" s="1" t="str">
        <f t="shared" si="2"/>
        <v>0,0,96</v>
      </c>
      <c r="D101" t="str">
        <f t="shared" si="3"/>
        <v xml:space="preserve">link_color_list[i].push({link_label: "1216 Boat Registration Fees", link_color: "rgba(0,0,96,0.2)" }) </v>
      </c>
    </row>
    <row r="102" spans="1:4">
      <c r="A102" t="s">
        <v>103</v>
      </c>
      <c r="B102" s="10"/>
      <c r="C102" s="1" t="str">
        <f t="shared" si="2"/>
        <v>0,0,96</v>
      </c>
      <c r="D102" t="str">
        <f t="shared" si="3"/>
        <v xml:space="preserve">link_color_list[i].push({link_label: "1217 NGF Earnings", link_color: "rgba(0,0,96,0.2)" }) </v>
      </c>
    </row>
    <row r="103" spans="1:4">
      <c r="A103" t="s">
        <v>104</v>
      </c>
      <c r="B103" s="10"/>
      <c r="C103" s="1" t="str">
        <f t="shared" si="2"/>
        <v>0,0,96</v>
      </c>
      <c r="D103" t="str">
        <f t="shared" si="3"/>
        <v xml:space="preserve">link_color_list[i].push({link_label: "1221 Civil Legal Services Fund", link_color: "rgba(0,0,96,0.2)" }) </v>
      </c>
    </row>
    <row r="104" spans="1:4">
      <c r="A104" t="s">
        <v>105</v>
      </c>
      <c r="B104" s="10"/>
      <c r="C104" s="1" t="str">
        <f t="shared" si="2"/>
        <v>0,0,96</v>
      </c>
      <c r="D104" t="str">
        <f t="shared" si="3"/>
        <v xml:space="preserve">link_color_list[i].push({link_label: "1223 Commercial Charter Fisheries RLF", link_color: "rgba(0,0,96,0.2)" }) </v>
      </c>
    </row>
    <row r="105" spans="1:4">
      <c r="A105" t="s">
        <v>106</v>
      </c>
      <c r="B105" s="10"/>
      <c r="C105" s="1" t="str">
        <f t="shared" si="2"/>
        <v>0,0,96</v>
      </c>
      <c r="D105" t="str">
        <f t="shared" si="3"/>
        <v xml:space="preserve">link_color_list[i].push({link_label: "1224 Mariculture Revolving Loan Fund", link_color: "rgba(0,0,96,0.2)" }) </v>
      </c>
    </row>
    <row r="106" spans="1:4">
      <c r="A106" t="s">
        <v>107</v>
      </c>
      <c r="B106" s="10"/>
      <c r="C106" s="1" t="str">
        <f t="shared" si="2"/>
        <v>0,0,96</v>
      </c>
      <c r="D106" t="str">
        <f t="shared" si="3"/>
        <v xml:space="preserve">link_color_list[i].push({link_label: "1226 Alaska Higher Education Investment Fund", link_color: "rgba(0,0,96,0.2)" }) </v>
      </c>
    </row>
    <row r="107" spans="1:4">
      <c r="A107" t="s">
        <v>108</v>
      </c>
      <c r="B107" s="10"/>
      <c r="C107" s="1" t="str">
        <f t="shared" si="2"/>
        <v>0,0,96</v>
      </c>
      <c r="D107" t="str">
        <f t="shared" si="3"/>
        <v xml:space="preserve">link_color_list[i].push({link_label: "1227 Alaska Microloan Revolving Loan Fund", link_color: "rgba(0,0,96,0.2)" }) </v>
      </c>
    </row>
    <row r="108" spans="1:4">
      <c r="A108" t="s">
        <v>109</v>
      </c>
      <c r="B108" s="10"/>
      <c r="C108" s="1" t="str">
        <f t="shared" si="2"/>
        <v>0,0,96</v>
      </c>
      <c r="D108" t="str">
        <f t="shared" si="3"/>
        <v xml:space="preserve">link_color_list[i].push({link_label: "1230 Alaska Clean Water Administrative Fund", link_color: "rgba(0,0,96,0.2)" }) </v>
      </c>
    </row>
    <row r="109" spans="1:4">
      <c r="A109" t="s">
        <v>110</v>
      </c>
      <c r="B109" s="10"/>
      <c r="C109" s="1" t="str">
        <f t="shared" si="2"/>
        <v>0,0,96</v>
      </c>
      <c r="D109" t="str">
        <f t="shared" si="3"/>
        <v xml:space="preserve">link_color_list[i].push({link_label: "1231 Alaska Drinking Water Administrative Fund", link_color: "rgba(0,0,96,0.2)" }) </v>
      </c>
    </row>
    <row r="110" spans="1:4">
      <c r="A110" t="s">
        <v>111</v>
      </c>
      <c r="B110" s="10"/>
      <c r="C110" s="1" t="str">
        <f t="shared" si="2"/>
        <v>0,0,96</v>
      </c>
      <c r="D110" t="str">
        <f t="shared" si="3"/>
        <v xml:space="preserve">link_color_list[i].push({link_label: "1232 In-state Pipeline Fund Interagency", link_color: "rgba(0,0,96,0.2)" }) </v>
      </c>
    </row>
    <row r="111" spans="1:4">
      <c r="A111" t="s">
        <v>112</v>
      </c>
      <c r="B111" s="10"/>
      <c r="C111" s="1" t="str">
        <f t="shared" si="2"/>
        <v>0,0,96</v>
      </c>
      <c r="D111" t="str">
        <f t="shared" si="3"/>
        <v xml:space="preserve">link_color_list[i].push({link_label: "1234 License Plates", link_color: "rgba(0,0,96,0.2)" }) </v>
      </c>
    </row>
    <row r="112" spans="1:4">
      <c r="A112" t="s">
        <v>113</v>
      </c>
      <c r="B112" s="10"/>
      <c r="C112" s="1" t="str">
        <f t="shared" si="2"/>
        <v>0,0,96</v>
      </c>
      <c r="D112" t="str">
        <f t="shared" si="3"/>
        <v xml:space="preserve">link_color_list[i].push({link_label: "1235 Alaska Liquefied Natural Gas Project Fund (AGDC-LNG)", link_color: "rgba(0,0,96,0.2)" }) </v>
      </c>
    </row>
    <row r="113" spans="1:4">
      <c r="A113" t="s">
        <v>114</v>
      </c>
      <c r="B113" s="10"/>
      <c r="C113" s="1" t="str">
        <f t="shared" si="2"/>
        <v>0,0,96</v>
      </c>
      <c r="D113" t="str">
        <f t="shared" si="3"/>
        <v xml:space="preserve">link_color_list[i].push({link_label: "1236 Alaska Liquefied Natural Gas Project Fund I/A (AK LNG I/A)", link_color: "rgba(0,0,96,0.2)" }) </v>
      </c>
    </row>
    <row r="114" spans="1:4">
      <c r="A114" t="s">
        <v>115</v>
      </c>
      <c r="B114" s="10"/>
      <c r="C114" s="1" t="str">
        <f t="shared" si="2"/>
        <v>0,0,96</v>
      </c>
      <c r="D114" t="str">
        <f t="shared" si="3"/>
        <v xml:space="preserve">link_color_list[i].push({link_label: "1237 Vocational Rehabilitation Small Bus. Enterprise Revolving Fd", link_color: "rgba(0,0,96,0.2)" }) </v>
      </c>
    </row>
    <row r="115" spans="1:4">
      <c r="A115" t="s">
        <v>116</v>
      </c>
      <c r="B115" s="10"/>
      <c r="C115" s="1" t="str">
        <f t="shared" si="2"/>
        <v>0,0,96</v>
      </c>
      <c r="D115" t="str">
        <f t="shared" si="3"/>
        <v xml:space="preserve">link_color_list[i].push({link_label: "1239 Aviation Fuel Tax Revenue", link_color: "rgba(0,0,96,0.2)" }) </v>
      </c>
    </row>
    <row r="116" spans="1:4">
      <c r="A116" t="s">
        <v>117</v>
      </c>
      <c r="B116" s="10"/>
      <c r="C116" s="1" t="str">
        <f t="shared" si="2"/>
        <v>0,0,96</v>
      </c>
      <c r="D116" t="str">
        <f t="shared" si="3"/>
        <v xml:space="preserve">link_color_list[i].push({link_label: "1244 Rural Airport Receipts", link_color: "rgba(0,0,96,0.2)" }) </v>
      </c>
    </row>
    <row r="117" spans="1:4">
      <c r="A117" t="s">
        <v>118</v>
      </c>
      <c r="B117" s="10"/>
      <c r="C117" s="1" t="str">
        <f t="shared" si="2"/>
        <v>0,0,96</v>
      </c>
      <c r="D117" t="str">
        <f t="shared" si="3"/>
        <v xml:space="preserve">link_color_list[i].push({link_label: "1245 Rural Airport Receipts I/A", link_color: "rgba(0,0,96,0.2)" }) </v>
      </c>
    </row>
    <row r="118" spans="1:4">
      <c r="A118" t="s">
        <v>119</v>
      </c>
      <c r="B118" s="10"/>
      <c r="C118" s="1" t="str">
        <f t="shared" si="2"/>
        <v>0,0,96</v>
      </c>
      <c r="D118" t="str">
        <f t="shared" si="3"/>
        <v xml:space="preserve">link_color_list[i].push({link_label: "1246 Recidivism Reduction Fund", link_color: "rgba(0,0,96,0.2)" }) </v>
      </c>
    </row>
    <row r="119" spans="1:4">
      <c r="A119" t="s">
        <v>120</v>
      </c>
      <c r="B119" s="10"/>
      <c r="C119" s="1" t="str">
        <f t="shared" si="2"/>
        <v>0,0,96</v>
      </c>
      <c r="D119" t="str">
        <f t="shared" si="3"/>
        <v xml:space="preserve">link_color_list[i].push({link_label: "1247 Medicaid Monetary Recoveries", link_color: "rgba(0,0,96,0.2)" }) </v>
      </c>
    </row>
    <row r="120" spans="1:4">
      <c r="A120" t="s">
        <v>121</v>
      </c>
      <c r="B120" s="10"/>
      <c r="C120" s="1" t="str">
        <f t="shared" si="2"/>
        <v>0,0,96</v>
      </c>
      <c r="D120" t="str">
        <f t="shared" si="3"/>
        <v xml:space="preserve">link_color_list[i].push({link_label: "1249 Motor Fuel Tax Receipts", link_color: "rgba(0,0,96,0.2)" }) </v>
      </c>
    </row>
    <row r="121" spans="1:4">
      <c r="A121" t="s">
        <v>122</v>
      </c>
      <c r="B121" s="10"/>
      <c r="C121" s="1" t="str">
        <f t="shared" si="2"/>
        <v>0,0,96</v>
      </c>
      <c r="D121" t="str">
        <f t="shared" si="3"/>
        <v xml:space="preserve">link_color_list[i].push({link_label: "1254 Marijuana Education and Treatment Fund", link_color: "rgba(0,0,96,0.2)" }) </v>
      </c>
    </row>
    <row r="122" spans="1:4">
      <c r="A122" t="s">
        <v>123</v>
      </c>
      <c r="B122" s="10"/>
      <c r="C122" s="1" t="str">
        <f t="shared" si="2"/>
        <v>0,0,96</v>
      </c>
      <c r="D122" t="str">
        <f t="shared" si="3"/>
        <v xml:space="preserve">link_color_list[i].push({link_label: "1261 Shared Taxes", link_color: "rgba(0,0,96,0.2)" }) </v>
      </c>
    </row>
    <row r="123" spans="1:4">
      <c r="A123" t="s">
        <v>124</v>
      </c>
      <c r="B123" s="10"/>
      <c r="C123" s="1" t="str">
        <f t="shared" si="2"/>
        <v>0,0,96</v>
      </c>
      <c r="D123" t="str">
        <f t="shared" si="3"/>
        <v xml:space="preserve">link_color_list[i].push({link_label: "1262 Non-mandatory Royalty Deposits to the Permanent Fund", link_color: "rgba(0,0,96,0.2)"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87A65-E615-4BAF-A779-6EC17927C762}">
  <sheetPr codeName="Sheet1"/>
  <dimension ref="A1:D123"/>
  <sheetViews>
    <sheetView zoomScale="95" workbookViewId="0"/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2" customFormat="1" ht="15.7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3"/>
      <c r="C3" s="1" t="str">
        <f>getRGB2(B3)</f>
        <v>231,0,0</v>
      </c>
      <c r="D3" t="str">
        <f>CONCATENATE( "node_color_list[i].push({node_label: """, A3, """, node_color: ""rgb(",C3,")"" }) ")</f>
        <v xml:space="preserve">node_color_list[i].push({node_label: "1001 Constitutional Budget Reserve Fund", node_color: "rgb(231,0,0)" }) </v>
      </c>
    </row>
    <row r="4" spans="1:4">
      <c r="A4" t="s">
        <v>5</v>
      </c>
      <c r="B4" s="4"/>
      <c r="C4" s="1" t="str">
        <f t="shared" ref="C4:C67" si="0">getRGB2(B4)</f>
        <v>120,120,120</v>
      </c>
      <c r="D4" t="str">
        <f t="shared" ref="D4:D67" si="1">CONCATENATE( "node_color_list[i].push({node_label: """, A4, """, node_color: ""rgb(",C4,")"" }) ")</f>
        <v xml:space="preserve">node_color_list[i].push({node_label: "1002 Federal Receipts", node_color: "rgb(120,120,120)" }) </v>
      </c>
    </row>
    <row r="5" spans="1:4">
      <c r="A5" t="s">
        <v>6</v>
      </c>
      <c r="B5" s="3"/>
      <c r="C5" s="1" t="str">
        <f t="shared" si="0"/>
        <v>231,0,0</v>
      </c>
      <c r="D5" t="str">
        <f t="shared" si="1"/>
        <v xml:space="preserve">node_color_list[i].push({node_label: "1003 General Fund Match", node_color: "rgb(231,0,0)" }) </v>
      </c>
    </row>
    <row r="6" spans="1:4">
      <c r="A6" t="s">
        <v>7</v>
      </c>
      <c r="B6" s="3"/>
      <c r="C6" s="1" t="str">
        <f t="shared" si="0"/>
        <v>231,0,0</v>
      </c>
      <c r="D6" t="str">
        <f t="shared" si="1"/>
        <v xml:space="preserve">node_color_list[i].push({node_label: "1004 General Fund Receipts", node_color: "rgb(231,0,0)" }) </v>
      </c>
    </row>
    <row r="7" spans="1:4">
      <c r="A7" t="s">
        <v>8</v>
      </c>
      <c r="B7" s="4"/>
      <c r="C7" s="1" t="str">
        <f t="shared" si="0"/>
        <v>120,120,120</v>
      </c>
      <c r="D7" t="str">
        <f t="shared" si="1"/>
        <v xml:space="preserve">node_color_list[i].push({node_label: "1005 General Fund/Program Receipts", node_color: "rgb(120,120,120)" }) </v>
      </c>
    </row>
    <row r="8" spans="1:4">
      <c r="A8" t="s">
        <v>9</v>
      </c>
      <c r="B8" s="4"/>
      <c r="C8" s="1" t="str">
        <f t="shared" si="0"/>
        <v>120,120,120</v>
      </c>
      <c r="D8" t="str">
        <f t="shared" si="1"/>
        <v xml:space="preserve">node_color_list[i].push({node_label: "1007 Interagency Receipts", node_color: "rgb(120,120,120)" }) </v>
      </c>
    </row>
    <row r="9" spans="1:4">
      <c r="A9" t="s">
        <v>10</v>
      </c>
      <c r="B9" s="4"/>
      <c r="C9" s="1" t="str">
        <f t="shared" si="0"/>
        <v>120,120,120</v>
      </c>
      <c r="D9" t="str">
        <f t="shared" si="1"/>
        <v xml:space="preserve">node_color_list[i].push({node_label: "1013 Alcoholism &amp; Drug Abuse Revolving Loan", node_color: "rgb(120,120,120)" }) </v>
      </c>
    </row>
    <row r="10" spans="1:4">
      <c r="A10" t="s">
        <v>11</v>
      </c>
      <c r="B10" s="4"/>
      <c r="C10" s="1" t="str">
        <f t="shared" si="0"/>
        <v>120,120,120</v>
      </c>
      <c r="D10" t="str">
        <f t="shared" si="1"/>
        <v xml:space="preserve">node_color_list[i].push({node_label: "1014 Donated Commodity/Handling Fee Account", node_color: "rgb(120,120,120)" }) </v>
      </c>
    </row>
    <row r="11" spans="1:4">
      <c r="A11" t="s">
        <v>12</v>
      </c>
      <c r="B11" s="4"/>
      <c r="C11" s="1" t="str">
        <f t="shared" si="0"/>
        <v>120,120,120</v>
      </c>
      <c r="D11" t="str">
        <f t="shared" si="1"/>
        <v xml:space="preserve">node_color_list[i].push({node_label: "1016 CSSD Federal Incentive Payments", node_color: "rgb(120,120,120)" }) </v>
      </c>
    </row>
    <row r="12" spans="1:4">
      <c r="A12" t="s">
        <v>13</v>
      </c>
      <c r="B12" s="4"/>
      <c r="C12" s="1" t="str">
        <f t="shared" si="0"/>
        <v>120,120,120</v>
      </c>
      <c r="D12" t="str">
        <f t="shared" si="1"/>
        <v xml:space="preserve">node_color_list[i].push({node_label: "1017 Benefits Systems Receipts", node_color: "rgb(120,120,120)" }) </v>
      </c>
    </row>
    <row r="13" spans="1:4">
      <c r="A13" t="s">
        <v>14</v>
      </c>
      <c r="B13" s="4"/>
      <c r="C13" s="1" t="str">
        <f t="shared" si="0"/>
        <v>120,120,120</v>
      </c>
      <c r="D13" t="str">
        <f t="shared" si="1"/>
        <v xml:space="preserve">node_color_list[i].push({node_label: "1018 Exxon Valdez Oil Spill Settlement", node_color: "rgb(120,120,120)" }) </v>
      </c>
    </row>
    <row r="14" spans="1:4">
      <c r="A14" t="s">
        <v>15</v>
      </c>
      <c r="B14" s="4"/>
      <c r="C14" s="1" t="str">
        <f t="shared" si="0"/>
        <v>120,120,120</v>
      </c>
      <c r="D14" t="str">
        <f t="shared" si="1"/>
        <v xml:space="preserve">node_color_list[i].push({node_label: "1021 Agricultural Loan Fund", node_color: "rgb(120,120,120)" }) </v>
      </c>
    </row>
    <row r="15" spans="1:4">
      <c r="A15" t="s">
        <v>16</v>
      </c>
      <c r="B15" s="4"/>
      <c r="C15" s="1" t="str">
        <f t="shared" si="0"/>
        <v>120,120,120</v>
      </c>
      <c r="D15" t="str">
        <f t="shared" si="1"/>
        <v xml:space="preserve">node_color_list[i].push({node_label: "1023 FICA Administration Fund Account", node_color: "rgb(120,120,120)" }) </v>
      </c>
    </row>
    <row r="16" spans="1:4">
      <c r="A16" t="s">
        <v>17</v>
      </c>
      <c r="B16" s="4"/>
      <c r="C16" s="1" t="str">
        <f t="shared" si="0"/>
        <v>120,120,120</v>
      </c>
      <c r="D16" t="str">
        <f t="shared" si="1"/>
        <v xml:space="preserve">node_color_list[i].push({node_label: "1024 Fish and Game Fund", node_color: "rgb(120,120,120)" }) </v>
      </c>
    </row>
    <row r="17" spans="1:4">
      <c r="A17" t="s">
        <v>18</v>
      </c>
      <c r="B17" s="4"/>
      <c r="C17" s="1" t="str">
        <f t="shared" si="0"/>
        <v>120,120,120</v>
      </c>
      <c r="D17" t="str">
        <f t="shared" si="1"/>
        <v xml:space="preserve">node_color_list[i].push({node_label: "1026 Highways/Equipment Working Capital Fund", node_color: "rgb(120,120,120)" }) </v>
      </c>
    </row>
    <row r="18" spans="1:4">
      <c r="A18" t="s">
        <v>19</v>
      </c>
      <c r="B18" s="4"/>
      <c r="C18" s="1" t="str">
        <f t="shared" si="0"/>
        <v>120,120,120</v>
      </c>
      <c r="D18" t="str">
        <f t="shared" si="1"/>
        <v xml:space="preserve">node_color_list[i].push({node_label: "1027 International Airport Revenue Fund", node_color: "rgb(120,120,120)" }) </v>
      </c>
    </row>
    <row r="19" spans="1:4">
      <c r="A19" t="s">
        <v>20</v>
      </c>
      <c r="B19" s="4"/>
      <c r="C19" s="1" t="str">
        <f t="shared" si="0"/>
        <v>120,120,120</v>
      </c>
      <c r="D19" t="str">
        <f t="shared" si="1"/>
        <v xml:space="preserve">node_color_list[i].push({node_label: "1029 Public Employees Retirement System Fund", node_color: "rgb(120,120,120)" }) </v>
      </c>
    </row>
    <row r="20" spans="1:4">
      <c r="A20" t="s">
        <v>21</v>
      </c>
      <c r="B20" s="4"/>
      <c r="C20" s="1" t="str">
        <f t="shared" si="0"/>
        <v>120,120,120</v>
      </c>
      <c r="D20" t="str">
        <f t="shared" si="1"/>
        <v xml:space="preserve">node_color_list[i].push({node_label: "1030 School Fund (Cigarette Tax)", node_color: "rgb(120,120,120)" }) </v>
      </c>
    </row>
    <row r="21" spans="1:4">
      <c r="A21" t="s">
        <v>22</v>
      </c>
      <c r="B21" s="4"/>
      <c r="C21" s="1" t="str">
        <f t="shared" si="0"/>
        <v>120,120,120</v>
      </c>
      <c r="D21" t="str">
        <f t="shared" si="1"/>
        <v xml:space="preserve">node_color_list[i].push({node_label: "1031 Second Injury Fund Reserve Account", node_color: "rgb(120,120,120)" }) </v>
      </c>
    </row>
    <row r="22" spans="1:4">
      <c r="A22" t="s">
        <v>23</v>
      </c>
      <c r="B22" s="4"/>
      <c r="C22" s="1" t="str">
        <f t="shared" si="0"/>
        <v>120,120,120</v>
      </c>
      <c r="D22" t="str">
        <f t="shared" si="1"/>
        <v xml:space="preserve">node_color_list[i].push({node_label: "1032 Fishermen's Fund", node_color: "rgb(120,120,120)" }) </v>
      </c>
    </row>
    <row r="23" spans="1:4">
      <c r="A23" t="s">
        <v>24</v>
      </c>
      <c r="B23" s="4"/>
      <c r="C23" s="1" t="str">
        <f t="shared" si="0"/>
        <v>120,120,120</v>
      </c>
      <c r="D23" t="str">
        <f t="shared" si="1"/>
        <v xml:space="preserve">node_color_list[i].push({node_label: "1033 Surplus Property Revolving Fund", node_color: "rgb(120,120,120)" }) </v>
      </c>
    </row>
    <row r="24" spans="1:4">
      <c r="A24" t="s">
        <v>25</v>
      </c>
      <c r="B24" s="4"/>
      <c r="C24" s="1" t="str">
        <f t="shared" si="0"/>
        <v>120,120,120</v>
      </c>
      <c r="D24" t="str">
        <f t="shared" si="1"/>
        <v xml:space="preserve">node_color_list[i].push({node_label: "1034 Teachers Retirement System Fund", node_color: "rgb(120,120,120)" }) </v>
      </c>
    </row>
    <row r="25" spans="1:4">
      <c r="A25" t="s">
        <v>26</v>
      </c>
      <c r="B25" s="4"/>
      <c r="C25" s="1" t="str">
        <f t="shared" si="0"/>
        <v>120,120,120</v>
      </c>
      <c r="D25" t="str">
        <f t="shared" si="1"/>
        <v xml:space="preserve">node_color_list[i].push({node_label: "1036 Commercial Fishing Loan Fund", node_color: "rgb(120,120,120)" }) </v>
      </c>
    </row>
    <row r="26" spans="1:4">
      <c r="A26" t="s">
        <v>27</v>
      </c>
      <c r="B26" s="4"/>
      <c r="C26" s="1" t="str">
        <f t="shared" si="0"/>
        <v>120,120,120</v>
      </c>
      <c r="D26" t="str">
        <f t="shared" si="1"/>
        <v xml:space="preserve">node_color_list[i].push({node_label: "1037 General Fund / Mental Health", node_color: "rgb(120,120,120)" }) </v>
      </c>
    </row>
    <row r="27" spans="1:4">
      <c r="A27" t="s">
        <v>28</v>
      </c>
      <c r="B27" s="4"/>
      <c r="C27" s="1" t="str">
        <f t="shared" si="0"/>
        <v>120,120,120</v>
      </c>
      <c r="D27" t="str">
        <f t="shared" si="1"/>
        <v xml:space="preserve">node_color_list[i].push({node_label: "1040 Real Estate Surety Fund", node_color: "rgb(120,120,120)" }) </v>
      </c>
    </row>
    <row r="28" spans="1:4">
      <c r="A28" t="s">
        <v>29</v>
      </c>
      <c r="B28" s="4"/>
      <c r="C28" s="1" t="str">
        <f t="shared" si="0"/>
        <v>120,120,120</v>
      </c>
      <c r="D28" t="str">
        <f t="shared" si="1"/>
        <v xml:space="preserve">node_color_list[i].push({node_label: "1041 Permanent Fund Earnings Reserve Account", node_color: "rgb(120,120,120)" }) </v>
      </c>
    </row>
    <row r="29" spans="1:4">
      <c r="A29" t="s">
        <v>30</v>
      </c>
      <c r="B29" s="4"/>
      <c r="C29" s="1" t="str">
        <f t="shared" si="0"/>
        <v>120,120,120</v>
      </c>
      <c r="D29" t="str">
        <f t="shared" si="1"/>
        <v xml:space="preserve">node_color_list[i].push({node_label: "1042 Judicial Retirement System", node_color: "rgb(120,120,120)" }) </v>
      </c>
    </row>
    <row r="30" spans="1:4">
      <c r="A30" t="s">
        <v>31</v>
      </c>
      <c r="B30" s="4"/>
      <c r="C30" s="1" t="str">
        <f t="shared" si="0"/>
        <v>120,120,120</v>
      </c>
      <c r="D30" t="str">
        <f t="shared" si="1"/>
        <v xml:space="preserve">node_color_list[i].push({node_label: "1043 Impact Aid for K-12 Schools", node_color: "rgb(120,120,120)" }) </v>
      </c>
    </row>
    <row r="31" spans="1:4">
      <c r="A31" t="s">
        <v>32</v>
      </c>
      <c r="B31" s="4"/>
      <c r="C31" s="1" t="str">
        <f t="shared" si="0"/>
        <v>120,120,120</v>
      </c>
      <c r="D31" t="str">
        <f t="shared" si="1"/>
        <v xml:space="preserve">node_color_list[i].push({node_label: "1045 National Guard &amp; Naval Militia Retirement System", node_color: "rgb(120,120,120)" }) </v>
      </c>
    </row>
    <row r="32" spans="1:4">
      <c r="A32" t="s">
        <v>33</v>
      </c>
      <c r="B32" s="4"/>
      <c r="C32" s="1" t="str">
        <f t="shared" si="0"/>
        <v>120,120,120</v>
      </c>
      <c r="D32" t="str">
        <f t="shared" si="1"/>
        <v xml:space="preserve">node_color_list[i].push({node_label: "1048 University Restricted Receipts", node_color: "rgb(120,120,120)" }) </v>
      </c>
    </row>
    <row r="33" spans="1:4">
      <c r="A33" t="s">
        <v>34</v>
      </c>
      <c r="B33" s="4"/>
      <c r="C33" s="1" t="str">
        <f t="shared" si="0"/>
        <v>120,120,120</v>
      </c>
      <c r="D33" t="str">
        <f t="shared" si="1"/>
        <v xml:space="preserve">node_color_list[i].push({node_label: "1049 Training and Building Fund", node_color: "rgb(120,120,120)" }) </v>
      </c>
    </row>
    <row r="34" spans="1:4">
      <c r="A34" t="s">
        <v>35</v>
      </c>
      <c r="B34" s="4"/>
      <c r="C34" s="1" t="str">
        <f t="shared" si="0"/>
        <v>120,120,120</v>
      </c>
      <c r="D34" t="str">
        <f t="shared" si="1"/>
        <v xml:space="preserve">node_color_list[i].push({node_label: "1050 Permanent Fund Dividend Fund", node_color: "rgb(120,120,120)" }) </v>
      </c>
    </row>
    <row r="35" spans="1:4">
      <c r="A35" t="s">
        <v>36</v>
      </c>
      <c r="B35" s="4"/>
      <c r="C35" s="1" t="str">
        <f t="shared" si="0"/>
        <v>120,120,120</v>
      </c>
      <c r="D35" t="str">
        <f t="shared" si="1"/>
        <v xml:space="preserve">node_color_list[i].push({node_label: "1052 Oil/Hazardous Prevention/Response Fund", node_color: "rgb(120,120,120)" }) </v>
      </c>
    </row>
    <row r="36" spans="1:4">
      <c r="A36" t="s">
        <v>37</v>
      </c>
      <c r="B36" s="4"/>
      <c r="C36" s="1" t="str">
        <f t="shared" si="0"/>
        <v>120,120,120</v>
      </c>
      <c r="D36" t="str">
        <f t="shared" si="1"/>
        <v xml:space="preserve">node_color_list[i].push({node_label: "1054 State Employment &amp; Training Program", node_color: "rgb(120,120,120)" }) </v>
      </c>
    </row>
    <row r="37" spans="1:4">
      <c r="A37" t="s">
        <v>38</v>
      </c>
      <c r="B37" s="4"/>
      <c r="C37" s="1" t="str">
        <f t="shared" si="0"/>
        <v>120,120,120</v>
      </c>
      <c r="D37" t="str">
        <f t="shared" si="1"/>
        <v xml:space="preserve">node_color_list[i].push({node_label: "1055 Interagency/Oil &amp; Hazardous Waste", node_color: "rgb(120,120,120)" }) </v>
      </c>
    </row>
    <row r="38" spans="1:4">
      <c r="A38" t="s">
        <v>39</v>
      </c>
      <c r="B38" s="4"/>
      <c r="C38" s="1" t="str">
        <f t="shared" si="0"/>
        <v>120,120,120</v>
      </c>
      <c r="D38" t="str">
        <f t="shared" si="1"/>
        <v xml:space="preserve">node_color_list[i].push({node_label: "1061 Capital Improvement Project Receipts", node_color: "rgb(120,120,120)" }) </v>
      </c>
    </row>
    <row r="39" spans="1:4">
      <c r="A39" t="s">
        <v>40</v>
      </c>
      <c r="B39" s="4"/>
      <c r="C39" s="1" t="str">
        <f t="shared" si="0"/>
        <v>120,120,120</v>
      </c>
      <c r="D39" t="str">
        <f t="shared" si="1"/>
        <v xml:space="preserve">node_color_list[i].push({node_label: "1062 Power Project Loan Fund", node_color: "rgb(120,120,120)" }) </v>
      </c>
    </row>
    <row r="40" spans="1:4">
      <c r="A40" t="s">
        <v>41</v>
      </c>
      <c r="B40" s="4"/>
      <c r="C40" s="1" t="str">
        <f t="shared" si="0"/>
        <v>120,120,120</v>
      </c>
      <c r="D40" t="str">
        <f t="shared" si="1"/>
        <v xml:space="preserve">node_color_list[i].push({node_label: "1066 Public School Trust Fund", node_color: "rgb(120,120,120)" }) </v>
      </c>
    </row>
    <row r="41" spans="1:4">
      <c r="A41" t="s">
        <v>42</v>
      </c>
      <c r="B41" s="4"/>
      <c r="C41" s="1" t="str">
        <f t="shared" si="0"/>
        <v>120,120,120</v>
      </c>
      <c r="D41" t="str">
        <f t="shared" si="1"/>
        <v xml:space="preserve">node_color_list[i].push({node_label: "1070 Fisheries Enhancement Revolving Loan Fund", node_color: "rgb(120,120,120)" }) </v>
      </c>
    </row>
    <row r="42" spans="1:4">
      <c r="A42" t="s">
        <v>43</v>
      </c>
      <c r="B42" s="4"/>
      <c r="C42" s="1" t="str">
        <f t="shared" si="0"/>
        <v>120,120,120</v>
      </c>
      <c r="D42" t="str">
        <f t="shared" si="1"/>
        <v xml:space="preserve">node_color_list[i].push({node_label: "1074 Bulk Fuel Revolving Loan Fund", node_color: "rgb(120,120,120)" }) </v>
      </c>
    </row>
    <row r="43" spans="1:4">
      <c r="A43" t="s">
        <v>44</v>
      </c>
      <c r="B43" s="4"/>
      <c r="C43" s="1" t="str">
        <f t="shared" si="0"/>
        <v>120,120,120</v>
      </c>
      <c r="D43" t="str">
        <f t="shared" si="1"/>
        <v xml:space="preserve">node_color_list[i].push({node_label: "1075 Alaska Clean Water Loan Fund", node_color: "rgb(120,120,120)" }) </v>
      </c>
    </row>
    <row r="44" spans="1:4">
      <c r="A44" t="s">
        <v>45</v>
      </c>
      <c r="B44" s="4"/>
      <c r="C44" s="1" t="str">
        <f t="shared" si="0"/>
        <v>120,120,120</v>
      </c>
      <c r="D44" t="str">
        <f t="shared" si="1"/>
        <v xml:space="preserve">node_color_list[i].push({node_label: "1076 Marine Highway System Fund", node_color: "rgb(120,120,120)" }) </v>
      </c>
    </row>
    <row r="45" spans="1:4">
      <c r="A45" t="s">
        <v>46</v>
      </c>
      <c r="B45" s="4"/>
      <c r="C45" s="1" t="str">
        <f t="shared" si="0"/>
        <v>120,120,120</v>
      </c>
      <c r="D45" t="str">
        <f t="shared" si="1"/>
        <v xml:space="preserve">node_color_list[i].push({node_label: "1081 Information Services Fund", node_color: "rgb(120,120,120)" }) </v>
      </c>
    </row>
    <row r="46" spans="1:4">
      <c r="A46" t="s">
        <v>47</v>
      </c>
      <c r="B46" s="4"/>
      <c r="C46" s="1" t="str">
        <f t="shared" si="0"/>
        <v>120,120,120</v>
      </c>
      <c r="D46" t="str">
        <f t="shared" si="1"/>
        <v xml:space="preserve">node_color_list[i].push({node_label: "1092 Mental Health Trust Authority Authorized Receipts", node_color: "rgb(120,120,120)" }) </v>
      </c>
    </row>
    <row r="47" spans="1:4">
      <c r="A47" t="s">
        <v>48</v>
      </c>
      <c r="B47" s="4"/>
      <c r="C47" s="1" t="str">
        <f t="shared" si="0"/>
        <v>120,120,120</v>
      </c>
      <c r="D47" t="str">
        <f t="shared" si="1"/>
        <v xml:space="preserve">node_color_list[i].push({node_label: "1093 Clean Air Protection Fund", node_color: "rgb(120,120,120)" }) </v>
      </c>
    </row>
    <row r="48" spans="1:4">
      <c r="A48" t="s">
        <v>49</v>
      </c>
      <c r="B48" s="4"/>
      <c r="C48" s="1" t="str">
        <f t="shared" si="0"/>
        <v>120,120,120</v>
      </c>
      <c r="D48" t="str">
        <f t="shared" si="1"/>
        <v xml:space="preserve">node_color_list[i].push({node_label: "1094 Mental Health Trust Administration", node_color: "rgb(120,120,120)" }) </v>
      </c>
    </row>
    <row r="49" spans="1:4">
      <c r="A49" t="s">
        <v>50</v>
      </c>
      <c r="B49" s="4"/>
      <c r="C49" s="1" t="str">
        <f t="shared" si="0"/>
        <v>120,120,120</v>
      </c>
      <c r="D49" t="str">
        <f t="shared" si="1"/>
        <v xml:space="preserve">node_color_list[i].push({node_label: "1100 Alaska Drinking Water Fund", node_color: "rgb(120,120,120)" }) </v>
      </c>
    </row>
    <row r="50" spans="1:4">
      <c r="A50" t="s">
        <v>51</v>
      </c>
      <c r="B50" s="4"/>
      <c r="C50" s="1" t="str">
        <f t="shared" si="0"/>
        <v>120,120,120</v>
      </c>
      <c r="D50" t="str">
        <f t="shared" si="1"/>
        <v xml:space="preserve">node_color_list[i].push({node_label: "1101 Alaska Aerospace Development Corporation Receipts", node_color: "rgb(120,120,120)" }) </v>
      </c>
    </row>
    <row r="51" spans="1:4">
      <c r="A51" t="s">
        <v>52</v>
      </c>
      <c r="B51" s="4"/>
      <c r="C51" s="1" t="str">
        <f t="shared" si="0"/>
        <v>120,120,120</v>
      </c>
      <c r="D51" t="str">
        <f t="shared" si="1"/>
        <v xml:space="preserve">node_color_list[i].push({node_label: "1102 Alaska Industrial Development &amp; Export Authority Receipts", node_color: "rgb(120,120,120)" }) </v>
      </c>
    </row>
    <row r="52" spans="1:4">
      <c r="A52" t="s">
        <v>53</v>
      </c>
      <c r="B52" s="4"/>
      <c r="C52" s="1" t="str">
        <f t="shared" si="0"/>
        <v>120,120,120</v>
      </c>
      <c r="D52" t="str">
        <f t="shared" si="1"/>
        <v xml:space="preserve">node_color_list[i].push({node_label: "1103 Alaska Housing Finance Corporation Receipts", node_color: "rgb(120,120,120)" }) </v>
      </c>
    </row>
    <row r="53" spans="1:4">
      <c r="A53" t="s">
        <v>54</v>
      </c>
      <c r="B53" s="4"/>
      <c r="C53" s="1" t="str">
        <f t="shared" si="0"/>
        <v>120,120,120</v>
      </c>
      <c r="D53" t="str">
        <f t="shared" si="1"/>
        <v xml:space="preserve">node_color_list[i].push({node_label: "1104 Alaska Municipal Bond Bank Receipts", node_color: "rgb(120,120,120)" }) </v>
      </c>
    </row>
    <row r="54" spans="1:4">
      <c r="A54" t="s">
        <v>55</v>
      </c>
      <c r="B54" s="4"/>
      <c r="C54" s="1" t="str">
        <f t="shared" si="0"/>
        <v>120,120,120</v>
      </c>
      <c r="D54" t="str">
        <f t="shared" si="1"/>
        <v xml:space="preserve">node_color_list[i].push({node_label: "1105 Alaska Permanent Fund Corporation Receipts", node_color: "rgb(120,120,120)" }) </v>
      </c>
    </row>
    <row r="55" spans="1:4">
      <c r="A55" t="s">
        <v>56</v>
      </c>
      <c r="B55" s="4"/>
      <c r="C55" s="1" t="str">
        <f t="shared" si="0"/>
        <v>120,120,120</v>
      </c>
      <c r="D55" t="str">
        <f t="shared" si="1"/>
        <v xml:space="preserve">node_color_list[i].push({node_label: "1106 Alaska Student Loan Corporation Receipts", node_color: "rgb(120,120,120)" }) </v>
      </c>
    </row>
    <row r="56" spans="1:4">
      <c r="A56" t="s">
        <v>57</v>
      </c>
      <c r="B56" s="4"/>
      <c r="C56" s="1" t="str">
        <f t="shared" si="0"/>
        <v>120,120,120</v>
      </c>
      <c r="D56" t="str">
        <f t="shared" si="1"/>
        <v xml:space="preserve">node_color_list[i].push({node_label: "1107 Alaska Energy Authority Corporate Receipts", node_color: "rgb(120,120,120)" }) </v>
      </c>
    </row>
    <row r="57" spans="1:4">
      <c r="A57" t="s">
        <v>58</v>
      </c>
      <c r="B57" s="4"/>
      <c r="C57" s="1" t="str">
        <f t="shared" si="0"/>
        <v>120,120,120</v>
      </c>
      <c r="D57" t="str">
        <f t="shared" si="1"/>
        <v xml:space="preserve">node_color_list[i].push({node_label: "1108 Statutory Designated Program Receipts", node_color: "rgb(120,120,120)" }) </v>
      </c>
    </row>
    <row r="58" spans="1:4">
      <c r="A58" t="s">
        <v>59</v>
      </c>
      <c r="B58" s="4"/>
      <c r="C58" s="1" t="str">
        <f t="shared" si="0"/>
        <v>120,120,120</v>
      </c>
      <c r="D58" t="str">
        <f t="shared" si="1"/>
        <v xml:space="preserve">node_color_list[i].push({node_label: "1109 Test Fisheries Receipts", node_color: "rgb(120,120,120)" }) </v>
      </c>
    </row>
    <row r="59" spans="1:4">
      <c r="A59" t="s">
        <v>60</v>
      </c>
      <c r="B59" s="4"/>
      <c r="C59" s="1" t="str">
        <f t="shared" si="0"/>
        <v>120,120,120</v>
      </c>
      <c r="D59" t="str">
        <f t="shared" si="1"/>
        <v xml:space="preserve">node_color_list[i].push({node_label: "1117 Randolph Sheppard Small Business Fund", node_color: "rgb(120,120,120)" }) </v>
      </c>
    </row>
    <row r="60" spans="1:4">
      <c r="A60" t="s">
        <v>61</v>
      </c>
      <c r="B60" s="4"/>
      <c r="C60" s="1" t="str">
        <f t="shared" si="0"/>
        <v>120,120,120</v>
      </c>
      <c r="D60" t="str">
        <f t="shared" si="1"/>
        <v xml:space="preserve">node_color_list[i].push({node_label: "1133 CSSD Administrative Cost Reimbursement", node_color: "rgb(120,120,120)" }) </v>
      </c>
    </row>
    <row r="61" spans="1:4">
      <c r="A61" t="s">
        <v>62</v>
      </c>
      <c r="B61" s="4"/>
      <c r="C61" s="1" t="str">
        <f t="shared" si="0"/>
        <v>120,120,120</v>
      </c>
      <c r="D61" t="str">
        <f t="shared" si="1"/>
        <v xml:space="preserve">node_color_list[i].push({node_label: "1140 AIDEA Dividend", node_color: "rgb(120,120,120)" }) </v>
      </c>
    </row>
    <row r="62" spans="1:4">
      <c r="A62" t="s">
        <v>63</v>
      </c>
      <c r="B62" s="4"/>
      <c r="C62" s="1" t="str">
        <f t="shared" si="0"/>
        <v>120,120,120</v>
      </c>
      <c r="D62" t="str">
        <f t="shared" si="1"/>
        <v xml:space="preserve">node_color_list[i].push({node_label: "1141 RCA Receipts", node_color: "rgb(120,120,120)" }) </v>
      </c>
    </row>
    <row r="63" spans="1:4">
      <c r="A63" t="s">
        <v>64</v>
      </c>
      <c r="B63" s="4"/>
      <c r="C63" s="1" t="str">
        <f t="shared" si="0"/>
        <v>120,120,120</v>
      </c>
      <c r="D63" t="str">
        <f t="shared" si="1"/>
        <v xml:space="preserve">node_color_list[i].push({node_label: "1144 Clean Water Fund Bond Receipts", node_color: "rgb(120,120,120)" }) </v>
      </c>
    </row>
    <row r="64" spans="1:4">
      <c r="A64" t="s">
        <v>65</v>
      </c>
      <c r="B64" s="4"/>
      <c r="C64" s="1" t="str">
        <f t="shared" si="0"/>
        <v>120,120,120</v>
      </c>
      <c r="D64" t="str">
        <f t="shared" si="1"/>
        <v xml:space="preserve">node_color_list[i].push({node_label: "1145 Art in Public Places Fund", node_color: "rgb(120,120,120)" }) </v>
      </c>
    </row>
    <row r="65" spans="1:4">
      <c r="A65" t="s">
        <v>66</v>
      </c>
      <c r="B65" s="4"/>
      <c r="C65" s="1" t="str">
        <f t="shared" si="0"/>
        <v>120,120,120</v>
      </c>
      <c r="D65" t="str">
        <f t="shared" si="1"/>
        <v xml:space="preserve">node_color_list[i].push({node_label: "1147 Public Building Fund", node_color: "rgb(120,120,120)" }) </v>
      </c>
    </row>
    <row r="66" spans="1:4">
      <c r="A66" t="s">
        <v>67</v>
      </c>
      <c r="B66" s="4"/>
      <c r="C66" s="1" t="str">
        <f t="shared" si="0"/>
        <v>120,120,120</v>
      </c>
      <c r="D66" t="str">
        <f t="shared" si="1"/>
        <v xml:space="preserve">node_color_list[i].push({node_label: "1151 Technical Vocational Education Program Account", node_color: "rgb(120,120,120)" }) </v>
      </c>
    </row>
    <row r="67" spans="1:4">
      <c r="A67" t="s">
        <v>68</v>
      </c>
      <c r="B67" s="4"/>
      <c r="C67" s="1" t="str">
        <f t="shared" si="0"/>
        <v>120,120,120</v>
      </c>
      <c r="D67" t="str">
        <f t="shared" si="1"/>
        <v xml:space="preserve">node_color_list[i].push({node_label: "1153 State Land Disposal Income Fund", node_color: "rgb(120,120,120)" }) </v>
      </c>
    </row>
    <row r="68" spans="1:4">
      <c r="A68" t="s">
        <v>69</v>
      </c>
      <c r="B68" s="4"/>
      <c r="C68" s="1" t="str">
        <f t="shared" ref="C68:C123" si="2">getRGB2(B68)</f>
        <v>120,120,120</v>
      </c>
      <c r="D68" t="str">
        <f t="shared" ref="D68:D123" si="3">CONCATENATE( "node_color_list[i].push({node_label: """, A68, """, node_color: ""rgb(",C68,")"" }) ")</f>
        <v xml:space="preserve">node_color_list[i].push({node_label: "1154 Shore Fisheries Development Lease Program", node_color: "rgb(120,120,120)" }) </v>
      </c>
    </row>
    <row r="69" spans="1:4">
      <c r="A69" t="s">
        <v>70</v>
      </c>
      <c r="B69" s="4"/>
      <c r="C69" s="1" t="str">
        <f t="shared" si="2"/>
        <v>120,120,120</v>
      </c>
      <c r="D69" t="str">
        <f t="shared" si="3"/>
        <v xml:space="preserve">node_color_list[i].push({node_label: "1155 Timber Sale Receipts", node_color: "rgb(120,120,120)" }) </v>
      </c>
    </row>
    <row r="70" spans="1:4">
      <c r="A70" t="s">
        <v>71</v>
      </c>
      <c r="B70" s="4"/>
      <c r="C70" s="1" t="str">
        <f t="shared" si="2"/>
        <v>120,120,120</v>
      </c>
      <c r="D70" t="str">
        <f t="shared" si="3"/>
        <v xml:space="preserve">node_color_list[i].push({node_label: "1156 Receipt Supported Services", node_color: "rgb(120,120,120)" }) </v>
      </c>
    </row>
    <row r="71" spans="1:4">
      <c r="A71" t="s">
        <v>72</v>
      </c>
      <c r="B71" s="4"/>
      <c r="C71" s="1" t="str">
        <f t="shared" si="2"/>
        <v>120,120,120</v>
      </c>
      <c r="D71" t="str">
        <f t="shared" si="3"/>
        <v xml:space="preserve">node_color_list[i].push({node_label: "1157 Workers Safety and Compensation Administration Account", node_color: "rgb(120,120,120)" }) </v>
      </c>
    </row>
    <row r="72" spans="1:4">
      <c r="A72" t="s">
        <v>73</v>
      </c>
      <c r="B72" s="4"/>
      <c r="C72" s="1" t="str">
        <f t="shared" si="2"/>
        <v>120,120,120</v>
      </c>
      <c r="D72" t="str">
        <f t="shared" si="3"/>
        <v xml:space="preserve">node_color_list[i].push({node_label: "1159 Drinking Water Fund Bond Receipts", node_color: "rgb(120,120,120)" }) </v>
      </c>
    </row>
    <row r="73" spans="1:4">
      <c r="A73" t="s">
        <v>74</v>
      </c>
      <c r="B73" s="4"/>
      <c r="C73" s="1" t="str">
        <f t="shared" si="2"/>
        <v>120,120,120</v>
      </c>
      <c r="D73" t="str">
        <f t="shared" si="3"/>
        <v xml:space="preserve">node_color_list[i].push({node_label: "1162 Alaska Oil &amp; Gas Conservation Commission Rcpts", node_color: "rgb(120,120,120)" }) </v>
      </c>
    </row>
    <row r="74" spans="1:4">
      <c r="A74" t="s">
        <v>75</v>
      </c>
      <c r="B74" s="4"/>
      <c r="C74" s="1" t="str">
        <f t="shared" si="2"/>
        <v>120,120,120</v>
      </c>
      <c r="D74" t="str">
        <f t="shared" si="3"/>
        <v xml:space="preserve">node_color_list[i].push({node_label: "1164 Rural Development Initiative Fund", node_color: "rgb(120,120,120)" }) </v>
      </c>
    </row>
    <row r="75" spans="1:4">
      <c r="A75" t="s">
        <v>76</v>
      </c>
      <c r="B75" s="4"/>
      <c r="C75" s="1" t="str">
        <f t="shared" si="2"/>
        <v>120,120,120</v>
      </c>
      <c r="D75" t="str">
        <f t="shared" si="3"/>
        <v xml:space="preserve">node_color_list[i].push({node_label: "1166 Commercial Passenger Vessel Environmental Compliance Fund", node_color: "rgb(120,120,120)" }) </v>
      </c>
    </row>
    <row r="76" spans="1:4">
      <c r="A76" t="s">
        <v>77</v>
      </c>
      <c r="B76" s="4"/>
      <c r="C76" s="1" t="str">
        <f t="shared" si="2"/>
        <v>120,120,120</v>
      </c>
      <c r="D76" t="str">
        <f t="shared" si="3"/>
        <v xml:space="preserve">node_color_list[i].push({node_label: "1168 Tobacco Use Education and Cessation Fund", node_color: "rgb(120,120,120)" }) </v>
      </c>
    </row>
    <row r="77" spans="1:4">
      <c r="A77" t="s">
        <v>78</v>
      </c>
      <c r="B77" s="4"/>
      <c r="C77" s="1" t="str">
        <f t="shared" si="2"/>
        <v>120,120,120</v>
      </c>
      <c r="D77" t="str">
        <f t="shared" si="3"/>
        <v xml:space="preserve">node_color_list[i].push({node_label: "1169 PCE Endowment Fund", node_color: "rgb(120,120,120)" }) </v>
      </c>
    </row>
    <row r="78" spans="1:4">
      <c r="A78" t="s">
        <v>79</v>
      </c>
      <c r="B78" s="4"/>
      <c r="C78" s="1" t="str">
        <f t="shared" si="2"/>
        <v>120,120,120</v>
      </c>
      <c r="D78" t="str">
        <f t="shared" si="3"/>
        <v xml:space="preserve">node_color_list[i].push({node_label: "1170 Small Business Economic Development Revolving Loan Fund", node_color: "rgb(120,120,120)" }) </v>
      </c>
    </row>
    <row r="79" spans="1:4">
      <c r="A79" t="s">
        <v>80</v>
      </c>
      <c r="B79" s="4"/>
      <c r="C79" s="1" t="str">
        <f t="shared" si="2"/>
        <v>120,120,120</v>
      </c>
      <c r="D79" t="str">
        <f t="shared" si="3"/>
        <v xml:space="preserve">node_color_list[i].push({node_label: "1171 PF Dividend Appropriations in lieu of Dividends to Criminals", node_color: "rgb(120,120,120)" }) </v>
      </c>
    </row>
    <row r="80" spans="1:4">
      <c r="A80" t="s">
        <v>81</v>
      </c>
      <c r="B80" s="4"/>
      <c r="C80" s="1" t="str">
        <f t="shared" si="2"/>
        <v>120,120,120</v>
      </c>
      <c r="D80" t="str">
        <f t="shared" si="3"/>
        <v xml:space="preserve">node_color_list[i].push({node_label: "1172 Building Safety Account", node_color: "rgb(120,120,120)" }) </v>
      </c>
    </row>
    <row r="81" spans="1:4">
      <c r="A81" t="s">
        <v>82</v>
      </c>
      <c r="B81" s="4"/>
      <c r="C81" s="1" t="str">
        <f t="shared" si="2"/>
        <v>120,120,120</v>
      </c>
      <c r="D81" t="str">
        <f t="shared" si="3"/>
        <v xml:space="preserve">node_color_list[i].push({node_label: "1173 Miscellaneous Earnings", node_color: "rgb(120,120,120)" }) </v>
      </c>
    </row>
    <row r="82" spans="1:4">
      <c r="A82" t="s">
        <v>83</v>
      </c>
      <c r="B82" s="4"/>
      <c r="C82" s="1" t="str">
        <f t="shared" si="2"/>
        <v>120,120,120</v>
      </c>
      <c r="D82" t="str">
        <f t="shared" si="3"/>
        <v xml:space="preserve">node_color_list[i].push({node_label: "1174 UA Intra-Agency Transfers", node_color: "rgb(120,120,120)" }) </v>
      </c>
    </row>
    <row r="83" spans="1:4">
      <c r="A83" t="s">
        <v>84</v>
      </c>
      <c r="B83" s="4"/>
      <c r="C83" s="1" t="str">
        <f t="shared" si="2"/>
        <v>120,120,120</v>
      </c>
      <c r="D83" t="str">
        <f t="shared" si="3"/>
        <v xml:space="preserve">node_color_list[i].push({node_label: "1179 Passenger Facility Charges", node_color: "rgb(120,120,120)" }) </v>
      </c>
    </row>
    <row r="84" spans="1:4">
      <c r="A84" t="s">
        <v>85</v>
      </c>
      <c r="B84" s="4"/>
      <c r="C84" s="1" t="str">
        <f t="shared" si="2"/>
        <v>120,120,120</v>
      </c>
      <c r="D84" t="str">
        <f t="shared" si="3"/>
        <v xml:space="preserve">node_color_list[i].push({node_label: "1180 Alcohol &amp; Other Drug Abuse Treatment &amp; Prevention Fund", node_color: "rgb(120,120,120)" }) </v>
      </c>
    </row>
    <row r="85" spans="1:4">
      <c r="A85" t="s">
        <v>86</v>
      </c>
      <c r="B85" s="4"/>
      <c r="C85" s="1" t="str">
        <f t="shared" si="2"/>
        <v>120,120,120</v>
      </c>
      <c r="D85" t="str">
        <f t="shared" si="3"/>
        <v xml:space="preserve">node_color_list[i].push({node_label: "1181 Alaska Veterans' Memorial Endowment Fund", node_color: "rgb(120,120,120)" }) </v>
      </c>
    </row>
    <row r="86" spans="1:4">
      <c r="A86" t="s">
        <v>87</v>
      </c>
      <c r="B86" s="4"/>
      <c r="C86" s="1" t="str">
        <f t="shared" si="2"/>
        <v>120,120,120</v>
      </c>
      <c r="D86" t="str">
        <f t="shared" si="3"/>
        <v xml:space="preserve">node_color_list[i].push({node_label: "1184 General Obligation Bond Debt Service Fund", node_color: "rgb(120,120,120)" }) </v>
      </c>
    </row>
    <row r="87" spans="1:4">
      <c r="A87" t="s">
        <v>88</v>
      </c>
      <c r="B87" s="4"/>
      <c r="C87" s="1" t="str">
        <f t="shared" si="2"/>
        <v>120,120,120</v>
      </c>
      <c r="D87" t="str">
        <f t="shared" si="3"/>
        <v xml:space="preserve">node_color_list[i].push({node_label: "1185 Election Fund (HAVA)", node_color: "rgb(120,120,120)" }) </v>
      </c>
    </row>
    <row r="88" spans="1:4">
      <c r="A88" t="s">
        <v>89</v>
      </c>
      <c r="B88" s="4"/>
      <c r="C88" s="1" t="str">
        <f t="shared" si="2"/>
        <v>120,120,120</v>
      </c>
      <c r="D88" t="str">
        <f t="shared" si="3"/>
        <v xml:space="preserve">node_color_list[i].push({node_label: "1192 Mine Reclamation Trust Fund", node_color: "rgb(120,120,120)" }) </v>
      </c>
    </row>
    <row r="89" spans="1:4">
      <c r="A89" t="s">
        <v>90</v>
      </c>
      <c r="B89" s="4"/>
      <c r="C89" s="1" t="str">
        <f t="shared" si="2"/>
        <v>120,120,120</v>
      </c>
      <c r="D89" t="str">
        <f t="shared" si="3"/>
        <v xml:space="preserve">node_color_list[i].push({node_label: "1198 Alaska Fish and Game Revenue Bond Redemption Fund", node_color: "rgb(120,120,120)" }) </v>
      </c>
    </row>
    <row r="90" spans="1:4">
      <c r="A90" t="s">
        <v>91</v>
      </c>
      <c r="B90" s="4"/>
      <c r="C90" s="1" t="str">
        <f t="shared" si="2"/>
        <v>120,120,120</v>
      </c>
      <c r="D90" t="str">
        <f t="shared" si="3"/>
        <v xml:space="preserve">node_color_list[i].push({node_label: "1199 Alaska Sport Fishing Enterprise Account", node_color: "rgb(120,120,120)" }) </v>
      </c>
    </row>
    <row r="91" spans="1:4">
      <c r="A91" t="s">
        <v>92</v>
      </c>
      <c r="B91" s="4"/>
      <c r="C91" s="1" t="str">
        <f t="shared" si="2"/>
        <v>120,120,120</v>
      </c>
      <c r="D91" t="str">
        <f t="shared" si="3"/>
        <v xml:space="preserve">node_color_list[i].push({node_label: "1200 Vehicle Rental Tax Receipts", node_color: "rgb(120,120,120)" }) </v>
      </c>
    </row>
    <row r="92" spans="1:4">
      <c r="A92" t="s">
        <v>93</v>
      </c>
      <c r="B92" s="4"/>
      <c r="C92" s="1" t="str">
        <f t="shared" si="2"/>
        <v>120,120,120</v>
      </c>
      <c r="D92" t="str">
        <f t="shared" si="3"/>
        <v xml:space="preserve">node_color_list[i].push({node_label: "1201 Commercial Fisheries Entry Commission Receipts", node_color: "rgb(120,120,120)" }) </v>
      </c>
    </row>
    <row r="93" spans="1:4">
      <c r="A93" t="s">
        <v>94</v>
      </c>
      <c r="B93" s="4"/>
      <c r="C93" s="1" t="str">
        <f t="shared" si="2"/>
        <v>120,120,120</v>
      </c>
      <c r="D93" t="str">
        <f t="shared" si="3"/>
        <v xml:space="preserve">node_color_list[i].push({node_label: "1202 Anatomical Gift Awareness Fund", node_color: "rgb(120,120,120)" }) </v>
      </c>
    </row>
    <row r="94" spans="1:4">
      <c r="A94" t="s">
        <v>95</v>
      </c>
      <c r="B94" s="4"/>
      <c r="C94" s="1" t="str">
        <f t="shared" si="2"/>
        <v>120,120,120</v>
      </c>
      <c r="D94" t="str">
        <f t="shared" si="3"/>
        <v xml:space="preserve">node_color_list[i].push({node_label: "1203 Workers' Compensation Benefits Guaranty Fund", node_color: "rgb(120,120,120)" }) </v>
      </c>
    </row>
    <row r="95" spans="1:4">
      <c r="A95" t="s">
        <v>96</v>
      </c>
      <c r="B95" s="4"/>
      <c r="C95" s="1" t="str">
        <f t="shared" si="2"/>
        <v>120,120,120</v>
      </c>
      <c r="D95" t="str">
        <f t="shared" si="3"/>
        <v xml:space="preserve">node_color_list[i].push({node_label: "1205 Berth Fees for the Ocean Ranger Program", node_color: "rgb(120,120,120)" }) </v>
      </c>
    </row>
    <row r="96" spans="1:4">
      <c r="A96" t="s">
        <v>97</v>
      </c>
      <c r="B96" s="4"/>
      <c r="C96" s="1" t="str">
        <f t="shared" si="2"/>
        <v>120,120,120</v>
      </c>
      <c r="D96" t="str">
        <f t="shared" si="3"/>
        <v xml:space="preserve">node_color_list[i].push({node_label: "1206 Commercial Passenger Vessel Tax", node_color: "rgb(120,120,120)" }) </v>
      </c>
    </row>
    <row r="97" spans="1:4">
      <c r="A97" t="s">
        <v>98</v>
      </c>
      <c r="B97" s="4"/>
      <c r="C97" s="1" t="str">
        <f t="shared" si="2"/>
        <v>120,120,120</v>
      </c>
      <c r="D97" t="str">
        <f t="shared" si="3"/>
        <v xml:space="preserve">node_color_list[i].push({node_label: "1210 Renewable Energy Grant Fund", node_color: "rgb(120,120,120)" }) </v>
      </c>
    </row>
    <row r="98" spans="1:4">
      <c r="A98" t="s">
        <v>99</v>
      </c>
      <c r="B98" s="4"/>
      <c r="C98" s="1" t="str">
        <f t="shared" si="2"/>
        <v>120,120,120</v>
      </c>
      <c r="D98" t="str">
        <f t="shared" si="3"/>
        <v xml:space="preserve">node_color_list[i].push({node_label: "1212 Federal Stimulus: ARRA 2009", node_color: "rgb(120,120,120)" }) </v>
      </c>
    </row>
    <row r="99" spans="1:4">
      <c r="A99" t="s">
        <v>100</v>
      </c>
      <c r="B99" s="4"/>
      <c r="C99" s="1" t="str">
        <f t="shared" si="2"/>
        <v>120,120,120</v>
      </c>
      <c r="D99" t="str">
        <f t="shared" si="3"/>
        <v xml:space="preserve">node_color_list[i].push({node_label: "1214 Whittier Tunnel Toll Receipts", node_color: "rgb(120,120,120)" }) </v>
      </c>
    </row>
    <row r="100" spans="1:4">
      <c r="A100" t="s">
        <v>101</v>
      </c>
      <c r="B100" s="4"/>
      <c r="C100" s="1" t="str">
        <f t="shared" si="2"/>
        <v>120,120,120</v>
      </c>
      <c r="D100" t="str">
        <f t="shared" si="3"/>
        <v xml:space="preserve">node_color_list[i].push({node_label: "1215 Uniform Commercial Registration fees", node_color: "rgb(120,120,120)" }) </v>
      </c>
    </row>
    <row r="101" spans="1:4">
      <c r="A101" t="s">
        <v>102</v>
      </c>
      <c r="B101" s="4"/>
      <c r="C101" s="1" t="str">
        <f t="shared" si="2"/>
        <v>120,120,120</v>
      </c>
      <c r="D101" t="str">
        <f t="shared" si="3"/>
        <v xml:space="preserve">node_color_list[i].push({node_label: "1216 Boat Registration Fees", node_color: "rgb(120,120,120)" }) </v>
      </c>
    </row>
    <row r="102" spans="1:4">
      <c r="A102" t="s">
        <v>103</v>
      </c>
      <c r="B102" s="4"/>
      <c r="C102" s="1" t="str">
        <f t="shared" si="2"/>
        <v>120,120,120</v>
      </c>
      <c r="D102" t="str">
        <f t="shared" si="3"/>
        <v xml:space="preserve">node_color_list[i].push({node_label: "1217 NGF Earnings", node_color: "rgb(120,120,120)" }) </v>
      </c>
    </row>
    <row r="103" spans="1:4">
      <c r="A103" t="s">
        <v>104</v>
      </c>
      <c r="B103" s="4"/>
      <c r="C103" s="1" t="str">
        <f t="shared" si="2"/>
        <v>120,120,120</v>
      </c>
      <c r="D103" t="str">
        <f t="shared" si="3"/>
        <v xml:space="preserve">node_color_list[i].push({node_label: "1221 Civil Legal Services Fund", node_color: "rgb(120,120,120)" }) </v>
      </c>
    </row>
    <row r="104" spans="1:4">
      <c r="A104" t="s">
        <v>105</v>
      </c>
      <c r="B104" s="4"/>
      <c r="C104" s="1" t="str">
        <f t="shared" si="2"/>
        <v>120,120,120</v>
      </c>
      <c r="D104" t="str">
        <f t="shared" si="3"/>
        <v xml:space="preserve">node_color_list[i].push({node_label: "1223 Commercial Charter Fisheries RLF", node_color: "rgb(120,120,120)" }) </v>
      </c>
    </row>
    <row r="105" spans="1:4">
      <c r="A105" t="s">
        <v>106</v>
      </c>
      <c r="B105" s="4"/>
      <c r="C105" s="1" t="str">
        <f t="shared" si="2"/>
        <v>120,120,120</v>
      </c>
      <c r="D105" t="str">
        <f t="shared" si="3"/>
        <v xml:space="preserve">node_color_list[i].push({node_label: "1224 Mariculture Revolving Loan Fund", node_color: "rgb(120,120,120)" }) </v>
      </c>
    </row>
    <row r="106" spans="1:4">
      <c r="A106" t="s">
        <v>107</v>
      </c>
      <c r="B106" s="4"/>
      <c r="C106" s="1" t="str">
        <f t="shared" si="2"/>
        <v>120,120,120</v>
      </c>
      <c r="D106" t="str">
        <f t="shared" si="3"/>
        <v xml:space="preserve">node_color_list[i].push({node_label: "1226 Alaska Higher Education Investment Fund", node_color: "rgb(120,120,120)" }) </v>
      </c>
    </row>
    <row r="107" spans="1:4">
      <c r="A107" t="s">
        <v>108</v>
      </c>
      <c r="B107" s="4"/>
      <c r="C107" s="1" t="str">
        <f t="shared" si="2"/>
        <v>120,120,120</v>
      </c>
      <c r="D107" t="str">
        <f t="shared" si="3"/>
        <v xml:space="preserve">node_color_list[i].push({node_label: "1227 Alaska Microloan Revolving Loan Fund", node_color: "rgb(120,120,120)" }) </v>
      </c>
    </row>
    <row r="108" spans="1:4">
      <c r="A108" t="s">
        <v>109</v>
      </c>
      <c r="B108" s="4"/>
      <c r="C108" s="1" t="str">
        <f t="shared" si="2"/>
        <v>120,120,120</v>
      </c>
      <c r="D108" t="str">
        <f t="shared" si="3"/>
        <v xml:space="preserve">node_color_list[i].push({node_label: "1230 Alaska Clean Water Administrative Fund", node_color: "rgb(120,120,120)" }) </v>
      </c>
    </row>
    <row r="109" spans="1:4">
      <c r="A109" t="s">
        <v>110</v>
      </c>
      <c r="B109" s="4"/>
      <c r="C109" s="1" t="str">
        <f t="shared" si="2"/>
        <v>120,120,120</v>
      </c>
      <c r="D109" t="str">
        <f t="shared" si="3"/>
        <v xml:space="preserve">node_color_list[i].push({node_label: "1231 Alaska Drinking Water Administrative Fund", node_color: "rgb(120,120,120)" }) </v>
      </c>
    </row>
    <row r="110" spans="1:4">
      <c r="A110" t="s">
        <v>111</v>
      </c>
      <c r="B110" s="4"/>
      <c r="C110" s="1" t="str">
        <f t="shared" si="2"/>
        <v>120,120,120</v>
      </c>
      <c r="D110" t="str">
        <f t="shared" si="3"/>
        <v xml:space="preserve">node_color_list[i].push({node_label: "1232 In-state Pipeline Fund Interagency", node_color: "rgb(120,120,120)" }) </v>
      </c>
    </row>
    <row r="111" spans="1:4">
      <c r="A111" t="s">
        <v>112</v>
      </c>
      <c r="B111" s="4"/>
      <c r="C111" s="1" t="str">
        <f t="shared" si="2"/>
        <v>120,120,120</v>
      </c>
      <c r="D111" t="str">
        <f t="shared" si="3"/>
        <v xml:space="preserve">node_color_list[i].push({node_label: "1234 License Plates", node_color: "rgb(120,120,120)" }) </v>
      </c>
    </row>
    <row r="112" spans="1:4">
      <c r="A112" t="s">
        <v>113</v>
      </c>
      <c r="B112" s="4"/>
      <c r="C112" s="1" t="str">
        <f t="shared" si="2"/>
        <v>120,120,120</v>
      </c>
      <c r="D112" t="str">
        <f t="shared" si="3"/>
        <v xml:space="preserve">node_color_list[i].push({node_label: "1235 Alaska Liquefied Natural Gas Project Fund (AGDC-LNG)", node_color: "rgb(120,120,120)" }) </v>
      </c>
    </row>
    <row r="113" spans="1:4">
      <c r="A113" t="s">
        <v>114</v>
      </c>
      <c r="B113" s="4"/>
      <c r="C113" s="1" t="str">
        <f t="shared" si="2"/>
        <v>120,120,120</v>
      </c>
      <c r="D113" t="str">
        <f t="shared" si="3"/>
        <v xml:space="preserve">node_color_list[i].push({node_label: "1236 Alaska Liquefied Natural Gas Project Fund I/A (AK LNG I/A)", node_color: "rgb(120,120,120)" }) </v>
      </c>
    </row>
    <row r="114" spans="1:4">
      <c r="A114" t="s">
        <v>115</v>
      </c>
      <c r="B114" s="4"/>
      <c r="C114" s="1" t="str">
        <f t="shared" si="2"/>
        <v>120,120,120</v>
      </c>
      <c r="D114" t="str">
        <f t="shared" si="3"/>
        <v xml:space="preserve">node_color_list[i].push({node_label: "1237 Vocational Rehabilitation Small Bus. Enterprise Revolving Fd", node_color: "rgb(120,120,120)" }) </v>
      </c>
    </row>
    <row r="115" spans="1:4">
      <c r="A115" t="s">
        <v>116</v>
      </c>
      <c r="B115" s="4"/>
      <c r="C115" s="1" t="str">
        <f t="shared" si="2"/>
        <v>120,120,120</v>
      </c>
      <c r="D115" t="str">
        <f t="shared" si="3"/>
        <v xml:space="preserve">node_color_list[i].push({node_label: "1239 Aviation Fuel Tax Revenue", node_color: "rgb(120,120,120)" }) </v>
      </c>
    </row>
    <row r="116" spans="1:4">
      <c r="A116" t="s">
        <v>117</v>
      </c>
      <c r="B116" s="4"/>
      <c r="C116" s="1" t="str">
        <f t="shared" si="2"/>
        <v>120,120,120</v>
      </c>
      <c r="D116" t="str">
        <f t="shared" si="3"/>
        <v xml:space="preserve">node_color_list[i].push({node_label: "1244 Rural Airport Receipts", node_color: "rgb(120,120,120)" }) </v>
      </c>
    </row>
    <row r="117" spans="1:4">
      <c r="A117" t="s">
        <v>118</v>
      </c>
      <c r="B117" s="4"/>
      <c r="C117" s="1" t="str">
        <f t="shared" si="2"/>
        <v>120,120,120</v>
      </c>
      <c r="D117" t="str">
        <f t="shared" si="3"/>
        <v xml:space="preserve">node_color_list[i].push({node_label: "1245 Rural Airport Receipts I/A", node_color: "rgb(120,120,120)" }) </v>
      </c>
    </row>
    <row r="118" spans="1:4">
      <c r="A118" t="s">
        <v>119</v>
      </c>
      <c r="B118" s="4"/>
      <c r="C118" s="1" t="str">
        <f t="shared" si="2"/>
        <v>120,120,120</v>
      </c>
      <c r="D118" t="str">
        <f t="shared" si="3"/>
        <v xml:space="preserve">node_color_list[i].push({node_label: "1246 Recidivism Reduction Fund", node_color: "rgb(120,120,120)" }) </v>
      </c>
    </row>
    <row r="119" spans="1:4">
      <c r="A119" t="s">
        <v>120</v>
      </c>
      <c r="B119" s="4"/>
      <c r="C119" s="1" t="str">
        <f t="shared" si="2"/>
        <v>120,120,120</v>
      </c>
      <c r="D119" t="str">
        <f t="shared" si="3"/>
        <v xml:space="preserve">node_color_list[i].push({node_label: "1247 Medicaid Monetary Recoveries", node_color: "rgb(120,120,120)" }) </v>
      </c>
    </row>
    <row r="120" spans="1:4">
      <c r="A120" t="s">
        <v>121</v>
      </c>
      <c r="B120" s="4"/>
      <c r="C120" s="1" t="str">
        <f t="shared" si="2"/>
        <v>120,120,120</v>
      </c>
      <c r="D120" t="str">
        <f t="shared" si="3"/>
        <v xml:space="preserve">node_color_list[i].push({node_label: "1249 Motor Fuel Tax Receipts", node_color: "rgb(120,120,120)" }) </v>
      </c>
    </row>
    <row r="121" spans="1:4">
      <c r="A121" t="s">
        <v>122</v>
      </c>
      <c r="B121" s="4"/>
      <c r="C121" s="1" t="str">
        <f t="shared" si="2"/>
        <v>120,120,120</v>
      </c>
      <c r="D121" t="str">
        <f t="shared" si="3"/>
        <v xml:space="preserve">node_color_list[i].push({node_label: "1254 Marijuana Education and Treatment Fund", node_color: "rgb(120,120,120)" }) </v>
      </c>
    </row>
    <row r="122" spans="1:4">
      <c r="A122" t="s">
        <v>123</v>
      </c>
      <c r="B122" s="4"/>
      <c r="C122" s="1" t="str">
        <f t="shared" si="2"/>
        <v>120,120,120</v>
      </c>
      <c r="D122" t="str">
        <f t="shared" si="3"/>
        <v xml:space="preserve">node_color_list[i].push({node_label: "1261 Shared Taxes", node_color: "rgb(120,120,120)" }) </v>
      </c>
    </row>
    <row r="123" spans="1:4">
      <c r="A123" t="s">
        <v>124</v>
      </c>
      <c r="B123" s="4"/>
      <c r="C123" s="1" t="str">
        <f t="shared" si="2"/>
        <v>120,120,120</v>
      </c>
      <c r="D123" t="str">
        <f t="shared" si="3"/>
        <v xml:space="preserve">node_color_list[i].push({node_label: "1262 Non-mandatory Royalty Deposits to the Permanent Fund", node_color: "rgb(120,120,120)"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3D03B-5FDC-48AE-A264-B74D6A00E0A8}">
  <sheetPr codeName="Sheet5"/>
  <dimension ref="A1:D232"/>
  <sheetViews>
    <sheetView zoomScaleNormal="100" workbookViewId="0">
      <selection activeCell="A13" sqref="A13"/>
    </sheetView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7" customFormat="1" ht="15.75" thickBot="1">
      <c r="A2" s="7" t="s">
        <v>283</v>
      </c>
      <c r="B2" s="6" t="s">
        <v>1</v>
      </c>
      <c r="C2" s="7" t="s">
        <v>2</v>
      </c>
      <c r="D2" s="7" t="s">
        <v>3</v>
      </c>
    </row>
    <row r="3" spans="1:4">
      <c r="A3" t="s">
        <v>127</v>
      </c>
      <c r="B3" s="29"/>
      <c r="C3" s="1" t="str">
        <f t="shared" ref="C3:C66" si="0">getRGB2(B3)</f>
        <v>0,128,128</v>
      </c>
      <c r="D3" t="str">
        <f>IF(A3="","",CONCATENATE("node_color_list[i].push({node_label: """,A3,""", node_color: ""rgb(",C3,")"" }) "))</f>
        <v xml:space="preserve">node_color_list[i].push({node_label: "Governor", node_color: "rgb(0,128,128)" }) </v>
      </c>
    </row>
    <row r="4" spans="1:4">
      <c r="A4" t="s">
        <v>128</v>
      </c>
      <c r="B4" s="29"/>
      <c r="C4" s="1" t="str">
        <f t="shared" si="0"/>
        <v>0,128,128</v>
      </c>
      <c r="D4" t="str">
        <f t="shared" ref="D4:D67" si="1">IF(A4="","",CONCATENATE("node_color_list[i].push({node_label: """,A4,""", node_color: ""rgb(",C4,")"" }) "))</f>
        <v xml:space="preserve">node_color_list[i].push({node_label: "Administration", node_color: "rgb(0,128,128)" }) </v>
      </c>
    </row>
    <row r="5" spans="1:4">
      <c r="A5" t="s">
        <v>129</v>
      </c>
      <c r="B5" s="29"/>
      <c r="C5" s="1" t="str">
        <f t="shared" si="0"/>
        <v>0,128,128</v>
      </c>
      <c r="D5" t="str">
        <f t="shared" si="1"/>
        <v xml:space="preserve">node_color_list[i].push({node_label: "Law", node_color: "rgb(0,128,128)" }) </v>
      </c>
    </row>
    <row r="6" spans="1:4">
      <c r="A6" t="s">
        <v>130</v>
      </c>
      <c r="B6" s="29"/>
      <c r="C6" s="1" t="str">
        <f t="shared" si="0"/>
        <v>0,128,128</v>
      </c>
      <c r="D6" t="str">
        <f t="shared" si="1"/>
        <v xml:space="preserve">node_color_list[i].push({node_label: "Revenue", node_color: "rgb(0,128,128)" }) </v>
      </c>
    </row>
    <row r="7" spans="1:4">
      <c r="A7" t="s">
        <v>131</v>
      </c>
      <c r="B7" s="29"/>
      <c r="C7" s="1" t="str">
        <f t="shared" si="0"/>
        <v>0,128,128</v>
      </c>
      <c r="D7" t="str">
        <f t="shared" si="1"/>
        <v xml:space="preserve">node_color_list[i].push({node_label: "Educ &amp; Early Devel", node_color: "rgb(0,128,128)" }) </v>
      </c>
    </row>
    <row r="8" spans="1:4">
      <c r="A8" t="s">
        <v>284</v>
      </c>
      <c r="B8" s="29"/>
      <c r="C8" s="1" t="str">
        <f t="shared" si="0"/>
        <v>0,128,128</v>
      </c>
      <c r="D8" t="str">
        <f t="shared" si="1"/>
        <v xml:space="preserve">node_color_list[i].push({node_label: "Health", node_color: "rgb(0,128,128)" }) </v>
      </c>
    </row>
    <row r="9" spans="1:4">
      <c r="A9" t="s">
        <v>132</v>
      </c>
      <c r="B9" s="29"/>
      <c r="C9" s="1" t="str">
        <f t="shared" si="0"/>
        <v>0,128,128</v>
      </c>
      <c r="D9" t="str">
        <f t="shared" si="1"/>
        <v xml:space="preserve">node_color_list[i].push({node_label: "Labor &amp; Workforce", node_color: "rgb(0,128,128)" }) </v>
      </c>
    </row>
    <row r="10" spans="1:4">
      <c r="A10" t="s">
        <v>133</v>
      </c>
      <c r="B10" s="29"/>
      <c r="C10" s="1" t="str">
        <f t="shared" si="0"/>
        <v>0,128,128</v>
      </c>
      <c r="D10" t="str">
        <f t="shared" si="1"/>
        <v xml:space="preserve">node_color_list[i].push({node_label: "Commerce", node_color: "rgb(0,128,128)" }) </v>
      </c>
    </row>
    <row r="11" spans="1:4">
      <c r="A11" t="s">
        <v>134</v>
      </c>
      <c r="B11" s="29"/>
      <c r="C11" s="1" t="str">
        <f t="shared" si="0"/>
        <v>0,128,128</v>
      </c>
      <c r="D11" t="str">
        <f t="shared" si="1"/>
        <v xml:space="preserve">node_color_list[i].push({node_label: "Military &amp; Veterans Affairs", node_color: "rgb(0,128,128)" }) </v>
      </c>
    </row>
    <row r="12" spans="1:4">
      <c r="A12" t="s">
        <v>135</v>
      </c>
      <c r="B12" s="29"/>
      <c r="C12" s="1" t="str">
        <f t="shared" si="0"/>
        <v>0,128,128</v>
      </c>
      <c r="D12" t="str">
        <f t="shared" si="1"/>
        <v xml:space="preserve">node_color_list[i].push({node_label: "Natural Resources", node_color: "rgb(0,128,128)" }) </v>
      </c>
    </row>
    <row r="13" spans="1:4">
      <c r="A13" t="s">
        <v>290</v>
      </c>
      <c r="B13" s="29"/>
      <c r="C13" s="1" t="str">
        <f t="shared" si="0"/>
        <v>0,128,128</v>
      </c>
      <c r="D13" t="str">
        <f t="shared" si="1"/>
        <v xml:space="preserve">node_color_list[i].push({node_label: "Fish &amp; Game", node_color: "rgb(0,128,128)" }) </v>
      </c>
    </row>
    <row r="14" spans="1:4">
      <c r="A14" t="s">
        <v>136</v>
      </c>
      <c r="B14" s="29"/>
      <c r="C14" s="1" t="str">
        <f t="shared" si="0"/>
        <v>0,128,128</v>
      </c>
      <c r="D14" t="str">
        <f t="shared" si="1"/>
        <v xml:space="preserve">node_color_list[i].push({node_label: "Public Safety", node_color: "rgb(0,128,128)" }) </v>
      </c>
    </row>
    <row r="15" spans="1:4">
      <c r="A15" t="s">
        <v>137</v>
      </c>
      <c r="B15" s="29"/>
      <c r="C15" s="1" t="str">
        <f t="shared" si="0"/>
        <v>0,128,128</v>
      </c>
      <c r="D15" t="str">
        <f t="shared" si="1"/>
        <v xml:space="preserve">node_color_list[i].push({node_label: "Environ Conservation", node_color: "rgb(0,128,128)" }) </v>
      </c>
    </row>
    <row r="16" spans="1:4">
      <c r="A16" t="s">
        <v>138</v>
      </c>
      <c r="B16" s="29"/>
      <c r="C16" s="1" t="str">
        <f t="shared" si="0"/>
        <v>0,128,128</v>
      </c>
      <c r="D16" t="str">
        <f t="shared" si="1"/>
        <v xml:space="preserve">node_color_list[i].push({node_label: "Corrections", node_color: "rgb(0,128,128)" }) </v>
      </c>
    </row>
    <row r="17" spans="1:4">
      <c r="A17" t="s">
        <v>139</v>
      </c>
      <c r="B17" s="29"/>
      <c r="C17" s="1" t="str">
        <f t="shared" si="0"/>
        <v>0,128,128</v>
      </c>
      <c r="D17" t="str">
        <f t="shared" si="1"/>
        <v xml:space="preserve">node_color_list[i].push({node_label: "Transportation", node_color: "rgb(0,128,128)" }) </v>
      </c>
    </row>
    <row r="18" spans="1:4">
      <c r="A18" t="s">
        <v>285</v>
      </c>
      <c r="B18" s="29"/>
      <c r="C18" s="1" t="str">
        <f t="shared" si="0"/>
        <v>0,128,128</v>
      </c>
      <c r="D18" t="str">
        <f t="shared" si="1"/>
        <v xml:space="preserve">node_color_list[i].push({node_label: "Family &amp; Community Services", node_color: "rgb(0,128,128)" }) </v>
      </c>
    </row>
    <row r="19" spans="1:4">
      <c r="A19" t="s">
        <v>140</v>
      </c>
      <c r="B19" s="29"/>
      <c r="C19" s="1" t="str">
        <f t="shared" si="0"/>
        <v>0,128,128</v>
      </c>
      <c r="D19" t="str">
        <f t="shared" si="1"/>
        <v xml:space="preserve">node_color_list[i].push({node_label: "Legislature", node_color: "rgb(0,128,128)" }) </v>
      </c>
    </row>
    <row r="20" spans="1:4">
      <c r="A20" t="s">
        <v>141</v>
      </c>
      <c r="B20" s="29"/>
      <c r="C20" s="1" t="str">
        <f t="shared" si="0"/>
        <v>0,128,128</v>
      </c>
      <c r="D20" t="str">
        <f t="shared" si="1"/>
        <v xml:space="preserve">node_color_list[i].push({node_label: "Debt Service", node_color: "rgb(0,128,128)" }) </v>
      </c>
    </row>
    <row r="21" spans="1:4">
      <c r="A21" t="s">
        <v>142</v>
      </c>
      <c r="B21" s="29"/>
      <c r="C21" s="1" t="str">
        <f t="shared" si="0"/>
        <v>0,128,128</v>
      </c>
      <c r="D21" t="str">
        <f t="shared" si="1"/>
        <v xml:space="preserve">node_color_list[i].push({node_label: "Judiciary", node_color: "rgb(0,128,128)" }) </v>
      </c>
    </row>
    <row r="22" spans="1:4">
      <c r="A22" t="s">
        <v>143</v>
      </c>
      <c r="B22" s="29"/>
      <c r="C22" s="1" t="str">
        <f t="shared" si="0"/>
        <v>0,128,128</v>
      </c>
      <c r="D22" t="str">
        <f t="shared" si="1"/>
        <v xml:space="preserve">node_color_list[i].push({node_label: "University of Alaska", node_color: "rgb(0,128,128)" }) </v>
      </c>
    </row>
    <row r="23" spans="1:4">
      <c r="A23" t="s">
        <v>144</v>
      </c>
      <c r="B23" s="29"/>
      <c r="C23" s="1" t="str">
        <f t="shared" si="0"/>
        <v>0,128,128</v>
      </c>
      <c r="D23" t="str">
        <f t="shared" si="1"/>
        <v xml:space="preserve">node_color_list[i].push({node_label: "Fund Capitalization", node_color: "rgb(0,128,128)" }) </v>
      </c>
    </row>
    <row r="24" spans="1:4">
      <c r="A24" t="s">
        <v>145</v>
      </c>
      <c r="B24" s="29"/>
      <c r="C24" s="1" t="str">
        <f t="shared" si="0"/>
        <v>0,128,128</v>
      </c>
      <c r="D24" t="str">
        <f t="shared" si="1"/>
        <v xml:space="preserve">node_color_list[i].push({node_label: "State Retirement Payments", node_color: "rgb(0,128,128)" }) </v>
      </c>
    </row>
    <row r="25" spans="1:4">
      <c r="A25" t="s">
        <v>146</v>
      </c>
      <c r="B25" s="29"/>
      <c r="C25" s="1" t="str">
        <f t="shared" si="0"/>
        <v>0,128,128</v>
      </c>
      <c r="D25" t="str">
        <f t="shared" si="1"/>
        <v xml:space="preserve">node_color_list[i].push({node_label: "Special Appropriations", node_color: "rgb(0,128,128)" }) </v>
      </c>
    </row>
    <row r="26" spans="1:4">
      <c r="A26" t="s">
        <v>147</v>
      </c>
      <c r="B26" s="29"/>
      <c r="C26" s="1" t="str">
        <f t="shared" si="0"/>
        <v>0,128,128</v>
      </c>
      <c r="D26" t="str">
        <f t="shared" si="1"/>
        <v xml:space="preserve">node_color_list[i].push({node_label: "Fund Transfers", node_color: "rgb(0,128,128)" }) </v>
      </c>
    </row>
    <row r="27" spans="1:4">
      <c r="A27" t="s">
        <v>148</v>
      </c>
      <c r="B27" s="29"/>
      <c r="C27" s="1" t="str">
        <f t="shared" si="0"/>
        <v>0,128,128</v>
      </c>
      <c r="D27" t="str">
        <f t="shared" si="1"/>
        <v xml:space="preserve">node_color_list[i].push({node_label: "Permanent Fund", node_color: "rgb(0,128,128)" }) </v>
      </c>
    </row>
    <row r="28" spans="1:4">
      <c r="A28" s="28"/>
      <c r="B28" s="29"/>
      <c r="C28" s="1" t="str">
        <f t="shared" si="0"/>
        <v>0,128,128</v>
      </c>
      <c r="D28" t="str">
        <f t="shared" si="1"/>
        <v/>
      </c>
    </row>
    <row r="29" spans="1:4">
      <c r="A29" s="28"/>
      <c r="B29" s="27"/>
      <c r="C29" s="1" t="str">
        <f t="shared" si="0"/>
        <v>255,255,255</v>
      </c>
      <c r="D29" t="str">
        <f t="shared" si="1"/>
        <v/>
      </c>
    </row>
    <row r="30" spans="1:4">
      <c r="A30" s="28"/>
      <c r="B30" s="27"/>
      <c r="C30" s="1" t="str">
        <f t="shared" si="0"/>
        <v>255,255,255</v>
      </c>
      <c r="D30" t="str">
        <f t="shared" si="1"/>
        <v/>
      </c>
    </row>
    <row r="31" spans="1:4">
      <c r="A31" s="28"/>
      <c r="B31" s="27"/>
      <c r="C31" s="1" t="str">
        <f t="shared" si="0"/>
        <v>255,255,255</v>
      </c>
      <c r="D31" t="str">
        <f t="shared" si="1"/>
        <v/>
      </c>
    </row>
    <row r="32" spans="1:4">
      <c r="A32" s="28"/>
      <c r="B32" s="27"/>
      <c r="C32" s="1" t="str">
        <f t="shared" si="0"/>
        <v>255,255,255</v>
      </c>
      <c r="D32" t="str">
        <f t="shared" si="1"/>
        <v/>
      </c>
    </row>
    <row r="33" spans="1:4">
      <c r="A33" s="28"/>
      <c r="B33" s="27"/>
      <c r="C33" s="1" t="str">
        <f t="shared" si="0"/>
        <v>255,255,255</v>
      </c>
      <c r="D33" t="str">
        <f t="shared" si="1"/>
        <v/>
      </c>
    </row>
    <row r="34" spans="1:4">
      <c r="A34" s="28"/>
      <c r="B34" s="27"/>
      <c r="C34" s="1" t="str">
        <f t="shared" si="0"/>
        <v>255,255,255</v>
      </c>
      <c r="D34" t="str">
        <f t="shared" si="1"/>
        <v/>
      </c>
    </row>
    <row r="35" spans="1:4">
      <c r="A35" s="28"/>
      <c r="B35" s="27"/>
      <c r="C35" s="1" t="str">
        <f t="shared" si="0"/>
        <v>255,255,255</v>
      </c>
      <c r="D35" t="str">
        <f t="shared" si="1"/>
        <v/>
      </c>
    </row>
    <row r="36" spans="1:4">
      <c r="A36" s="28"/>
      <c r="B36" s="27"/>
      <c r="C36" s="1" t="str">
        <f t="shared" si="0"/>
        <v>255,255,255</v>
      </c>
      <c r="D36" t="str">
        <f t="shared" si="1"/>
        <v/>
      </c>
    </row>
    <row r="37" spans="1:4">
      <c r="A37" s="28"/>
      <c r="B37" s="27"/>
      <c r="C37" s="1" t="str">
        <f t="shared" si="0"/>
        <v>255,255,255</v>
      </c>
      <c r="D37" t="str">
        <f t="shared" si="1"/>
        <v/>
      </c>
    </row>
    <row r="38" spans="1:4">
      <c r="A38" s="28"/>
      <c r="B38" s="27"/>
      <c r="C38" s="1" t="str">
        <f t="shared" si="0"/>
        <v>255,255,255</v>
      </c>
      <c r="D38" t="str">
        <f t="shared" si="1"/>
        <v/>
      </c>
    </row>
    <row r="39" spans="1:4">
      <c r="A39" s="28"/>
      <c r="B39" s="27"/>
      <c r="C39" s="1" t="str">
        <f t="shared" si="0"/>
        <v>255,255,255</v>
      </c>
      <c r="D39" t="str">
        <f t="shared" si="1"/>
        <v/>
      </c>
    </row>
    <row r="40" spans="1:4">
      <c r="A40" s="28"/>
      <c r="B40" s="27"/>
      <c r="C40" s="1" t="str">
        <f t="shared" si="0"/>
        <v>255,255,255</v>
      </c>
      <c r="D40" t="str">
        <f t="shared" si="1"/>
        <v/>
      </c>
    </row>
    <row r="41" spans="1:4">
      <c r="A41" s="28"/>
      <c r="B41" s="27"/>
      <c r="C41" s="1" t="str">
        <f t="shared" si="0"/>
        <v>255,255,255</v>
      </c>
      <c r="D41" t="str">
        <f t="shared" si="1"/>
        <v/>
      </c>
    </row>
    <row r="42" spans="1:4">
      <c r="A42" s="28"/>
      <c r="B42" s="27"/>
      <c r="C42" s="1" t="str">
        <f t="shared" si="0"/>
        <v>255,255,255</v>
      </c>
      <c r="D42" t="str">
        <f t="shared" si="1"/>
        <v/>
      </c>
    </row>
    <row r="43" spans="1:4">
      <c r="A43" s="28"/>
      <c r="B43" s="27"/>
      <c r="C43" s="1" t="str">
        <f t="shared" si="0"/>
        <v>255,255,255</v>
      </c>
      <c r="D43" t="str">
        <f t="shared" si="1"/>
        <v/>
      </c>
    </row>
    <row r="44" spans="1:4">
      <c r="A44" s="28"/>
      <c r="B44" s="27"/>
      <c r="C44" s="1" t="str">
        <f t="shared" si="0"/>
        <v>255,255,255</v>
      </c>
      <c r="D44" t="str">
        <f t="shared" si="1"/>
        <v/>
      </c>
    </row>
    <row r="45" spans="1:4">
      <c r="A45" s="28"/>
      <c r="B45" s="27"/>
      <c r="C45" s="1" t="str">
        <f t="shared" si="0"/>
        <v>255,255,255</v>
      </c>
      <c r="D45" t="str">
        <f t="shared" si="1"/>
        <v/>
      </c>
    </row>
    <row r="46" spans="1:4">
      <c r="A46" s="28"/>
      <c r="B46" s="27"/>
      <c r="C46" s="1" t="str">
        <f t="shared" si="0"/>
        <v>255,255,255</v>
      </c>
      <c r="D46" t="str">
        <f t="shared" si="1"/>
        <v/>
      </c>
    </row>
    <row r="47" spans="1:4">
      <c r="A47" s="28"/>
      <c r="B47" s="27"/>
      <c r="C47" s="1" t="str">
        <f t="shared" si="0"/>
        <v>255,255,255</v>
      </c>
      <c r="D47" t="str">
        <f t="shared" si="1"/>
        <v/>
      </c>
    </row>
    <row r="48" spans="1:4">
      <c r="A48" s="28"/>
      <c r="B48" s="27"/>
      <c r="C48" s="1" t="str">
        <f t="shared" si="0"/>
        <v>255,255,255</v>
      </c>
      <c r="D48" t="str">
        <f t="shared" si="1"/>
        <v/>
      </c>
    </row>
    <row r="49" spans="1:4">
      <c r="A49" s="28"/>
      <c r="B49" s="27"/>
      <c r="C49" s="1" t="str">
        <f t="shared" si="0"/>
        <v>255,255,255</v>
      </c>
      <c r="D49" t="str">
        <f t="shared" si="1"/>
        <v/>
      </c>
    </row>
    <row r="50" spans="1:4">
      <c r="A50" s="28"/>
      <c r="B50" s="27"/>
      <c r="C50" s="1" t="str">
        <f t="shared" si="0"/>
        <v>255,255,255</v>
      </c>
      <c r="D50" t="str">
        <f t="shared" si="1"/>
        <v/>
      </c>
    </row>
    <row r="51" spans="1:4">
      <c r="A51" s="28"/>
      <c r="B51" s="27"/>
      <c r="C51" s="1" t="str">
        <f t="shared" si="0"/>
        <v>255,255,255</v>
      </c>
      <c r="D51" t="str">
        <f t="shared" si="1"/>
        <v/>
      </c>
    </row>
    <row r="52" spans="1:4">
      <c r="A52" s="28"/>
      <c r="B52" s="27"/>
      <c r="C52" s="1" t="str">
        <f t="shared" si="0"/>
        <v>255,255,255</v>
      </c>
      <c r="D52" t="str">
        <f t="shared" si="1"/>
        <v/>
      </c>
    </row>
    <row r="53" spans="1:4">
      <c r="A53" s="28"/>
      <c r="B53" s="27"/>
      <c r="C53" s="1" t="str">
        <f t="shared" si="0"/>
        <v>255,255,255</v>
      </c>
      <c r="D53" t="str">
        <f t="shared" si="1"/>
        <v/>
      </c>
    </row>
    <row r="54" spans="1:4">
      <c r="A54" s="28"/>
      <c r="B54" s="27"/>
      <c r="C54" s="1" t="str">
        <f t="shared" si="0"/>
        <v>255,255,255</v>
      </c>
      <c r="D54" t="str">
        <f t="shared" si="1"/>
        <v/>
      </c>
    </row>
    <row r="55" spans="1:4">
      <c r="A55" s="28"/>
      <c r="B55" s="27"/>
      <c r="C55" s="1" t="str">
        <f t="shared" si="0"/>
        <v>255,255,255</v>
      </c>
      <c r="D55" t="str">
        <f t="shared" si="1"/>
        <v/>
      </c>
    </row>
    <row r="56" spans="1:4">
      <c r="A56" s="28"/>
      <c r="B56" s="27"/>
      <c r="C56" s="1" t="str">
        <f t="shared" si="0"/>
        <v>255,255,255</v>
      </c>
      <c r="D56" t="str">
        <f t="shared" si="1"/>
        <v/>
      </c>
    </row>
    <row r="57" spans="1:4">
      <c r="A57" s="28"/>
      <c r="B57" s="27"/>
      <c r="C57" s="1" t="str">
        <f t="shared" si="0"/>
        <v>255,255,255</v>
      </c>
      <c r="D57" t="str">
        <f t="shared" si="1"/>
        <v/>
      </c>
    </row>
    <row r="58" spans="1:4">
      <c r="A58" s="28"/>
      <c r="B58" s="27"/>
      <c r="C58" s="1" t="str">
        <f t="shared" si="0"/>
        <v>255,255,255</v>
      </c>
      <c r="D58" t="str">
        <f t="shared" si="1"/>
        <v/>
      </c>
    </row>
    <row r="59" spans="1:4">
      <c r="A59" s="28"/>
      <c r="B59" s="27"/>
      <c r="C59" s="1" t="str">
        <f t="shared" si="0"/>
        <v>255,255,255</v>
      </c>
      <c r="D59" t="str">
        <f t="shared" si="1"/>
        <v/>
      </c>
    </row>
    <row r="60" spans="1:4">
      <c r="A60" s="28"/>
      <c r="B60" s="27"/>
      <c r="C60" s="1" t="str">
        <f t="shared" si="0"/>
        <v>255,255,255</v>
      </c>
      <c r="D60" t="str">
        <f t="shared" si="1"/>
        <v/>
      </c>
    </row>
    <row r="61" spans="1:4">
      <c r="A61" s="28"/>
      <c r="B61" s="27"/>
      <c r="C61" s="1" t="str">
        <f t="shared" si="0"/>
        <v>255,255,255</v>
      </c>
      <c r="D61" t="str">
        <f t="shared" si="1"/>
        <v/>
      </c>
    </row>
    <row r="62" spans="1:4">
      <c r="A62" s="28"/>
      <c r="B62" s="27"/>
      <c r="C62" s="1" t="str">
        <f t="shared" si="0"/>
        <v>255,255,255</v>
      </c>
      <c r="D62" t="str">
        <f t="shared" si="1"/>
        <v/>
      </c>
    </row>
    <row r="63" spans="1:4">
      <c r="A63" s="28"/>
      <c r="B63" s="27"/>
      <c r="C63" s="1" t="str">
        <f t="shared" si="0"/>
        <v>255,255,255</v>
      </c>
      <c r="D63" t="str">
        <f t="shared" si="1"/>
        <v/>
      </c>
    </row>
    <row r="64" spans="1:4">
      <c r="A64" s="28"/>
      <c r="B64" s="27"/>
      <c r="C64" s="1" t="str">
        <f t="shared" si="0"/>
        <v>255,255,255</v>
      </c>
      <c r="D64" t="str">
        <f t="shared" si="1"/>
        <v/>
      </c>
    </row>
    <row r="65" spans="1:4">
      <c r="A65" s="28"/>
      <c r="B65" s="27"/>
      <c r="C65" s="1" t="str">
        <f t="shared" si="0"/>
        <v>255,255,255</v>
      </c>
      <c r="D65" t="str">
        <f t="shared" si="1"/>
        <v/>
      </c>
    </row>
    <row r="66" spans="1:4">
      <c r="A66" s="28"/>
      <c r="B66" s="27"/>
      <c r="C66" s="1" t="str">
        <f t="shared" si="0"/>
        <v>255,255,255</v>
      </c>
      <c r="D66" t="str">
        <f t="shared" si="1"/>
        <v/>
      </c>
    </row>
    <row r="67" spans="1:4">
      <c r="A67" s="28"/>
      <c r="B67" s="27"/>
      <c r="C67" s="1" t="str">
        <f t="shared" ref="C67:C130" si="2">getRGB2(B67)</f>
        <v>255,255,255</v>
      </c>
      <c r="D67" t="str">
        <f t="shared" si="1"/>
        <v/>
      </c>
    </row>
    <row r="68" spans="1:4">
      <c r="A68" s="28"/>
      <c r="B68" s="27"/>
      <c r="C68" s="1" t="str">
        <f t="shared" si="2"/>
        <v>255,255,255</v>
      </c>
      <c r="D68" t="str">
        <f t="shared" ref="D68:D131" si="3">IF(A68="","",CONCATENATE("node_color_list[i].push({node_label: """,A68,""", node_color: ""rgb(",C68,")"" }) "))</f>
        <v/>
      </c>
    </row>
    <row r="69" spans="1:4">
      <c r="A69" s="28"/>
      <c r="B69" s="27"/>
      <c r="C69" s="1" t="str">
        <f t="shared" si="2"/>
        <v>255,255,255</v>
      </c>
      <c r="D69" t="str">
        <f t="shared" si="3"/>
        <v/>
      </c>
    </row>
    <row r="70" spans="1:4">
      <c r="A70" s="28"/>
      <c r="B70" s="27"/>
      <c r="C70" s="1" t="str">
        <f t="shared" si="2"/>
        <v>255,255,255</v>
      </c>
      <c r="D70" t="str">
        <f t="shared" si="3"/>
        <v/>
      </c>
    </row>
    <row r="71" spans="1:4">
      <c r="A71" s="28"/>
      <c r="B71" s="27"/>
      <c r="C71" s="1" t="str">
        <f t="shared" si="2"/>
        <v>255,255,255</v>
      </c>
      <c r="D71" t="str">
        <f t="shared" si="3"/>
        <v/>
      </c>
    </row>
    <row r="72" spans="1:4">
      <c r="A72" s="28"/>
      <c r="B72" s="27"/>
      <c r="C72" s="1" t="str">
        <f t="shared" si="2"/>
        <v>255,255,255</v>
      </c>
      <c r="D72" t="str">
        <f t="shared" si="3"/>
        <v/>
      </c>
    </row>
    <row r="73" spans="1:4">
      <c r="A73" s="28"/>
      <c r="B73" s="27"/>
      <c r="C73" s="1" t="str">
        <f t="shared" si="2"/>
        <v>255,255,255</v>
      </c>
      <c r="D73" t="str">
        <f t="shared" si="3"/>
        <v/>
      </c>
    </row>
    <row r="74" spans="1:4">
      <c r="A74" s="28"/>
      <c r="B74" s="27"/>
      <c r="C74" s="1" t="str">
        <f t="shared" si="2"/>
        <v>255,255,255</v>
      </c>
      <c r="D74" t="str">
        <f t="shared" si="3"/>
        <v/>
      </c>
    </row>
    <row r="75" spans="1:4">
      <c r="A75" s="28"/>
      <c r="B75" s="27"/>
      <c r="C75" s="1" t="str">
        <f t="shared" si="2"/>
        <v>255,255,255</v>
      </c>
      <c r="D75" t="str">
        <f t="shared" si="3"/>
        <v/>
      </c>
    </row>
    <row r="76" spans="1:4">
      <c r="A76" s="28"/>
      <c r="B76" s="27"/>
      <c r="C76" s="1" t="str">
        <f t="shared" si="2"/>
        <v>255,255,255</v>
      </c>
      <c r="D76" t="str">
        <f t="shared" si="3"/>
        <v/>
      </c>
    </row>
    <row r="77" spans="1:4">
      <c r="A77" s="28"/>
      <c r="B77" s="27"/>
      <c r="C77" s="1" t="str">
        <f t="shared" si="2"/>
        <v>255,255,255</v>
      </c>
      <c r="D77" t="str">
        <f t="shared" si="3"/>
        <v/>
      </c>
    </row>
    <row r="78" spans="1:4">
      <c r="A78" s="28"/>
      <c r="B78" s="27"/>
      <c r="C78" s="1" t="str">
        <f t="shared" si="2"/>
        <v>255,255,255</v>
      </c>
      <c r="D78" t="str">
        <f t="shared" si="3"/>
        <v/>
      </c>
    </row>
    <row r="79" spans="1:4">
      <c r="A79" s="28"/>
      <c r="B79" s="27"/>
      <c r="C79" s="1" t="str">
        <f t="shared" si="2"/>
        <v>255,255,255</v>
      </c>
      <c r="D79" t="str">
        <f t="shared" si="3"/>
        <v/>
      </c>
    </row>
    <row r="80" spans="1:4">
      <c r="A80" s="28"/>
      <c r="B80" s="27"/>
      <c r="C80" s="1" t="str">
        <f t="shared" si="2"/>
        <v>255,255,255</v>
      </c>
      <c r="D80" t="str">
        <f t="shared" si="3"/>
        <v/>
      </c>
    </row>
    <row r="81" spans="1:4">
      <c r="A81" s="28"/>
      <c r="B81" s="27"/>
      <c r="C81" s="1" t="str">
        <f t="shared" si="2"/>
        <v>255,255,255</v>
      </c>
      <c r="D81" t="str">
        <f t="shared" si="3"/>
        <v/>
      </c>
    </row>
    <row r="82" spans="1:4">
      <c r="A82" s="28"/>
      <c r="B82" s="27"/>
      <c r="C82" s="1" t="str">
        <f t="shared" si="2"/>
        <v>255,255,255</v>
      </c>
      <c r="D82" t="str">
        <f t="shared" si="3"/>
        <v/>
      </c>
    </row>
    <row r="83" spans="1:4">
      <c r="A83" s="28"/>
      <c r="B83" s="27"/>
      <c r="C83" s="1" t="str">
        <f t="shared" si="2"/>
        <v>255,255,255</v>
      </c>
      <c r="D83" t="str">
        <f t="shared" si="3"/>
        <v/>
      </c>
    </row>
    <row r="84" spans="1:4">
      <c r="A84" s="28"/>
      <c r="B84" s="27"/>
      <c r="C84" s="1" t="str">
        <f t="shared" si="2"/>
        <v>255,255,255</v>
      </c>
      <c r="D84" t="str">
        <f t="shared" si="3"/>
        <v/>
      </c>
    </row>
    <row r="85" spans="1:4">
      <c r="A85" s="28"/>
      <c r="B85" s="27"/>
      <c r="C85" s="1" t="str">
        <f t="shared" si="2"/>
        <v>255,255,255</v>
      </c>
      <c r="D85" t="str">
        <f t="shared" si="3"/>
        <v/>
      </c>
    </row>
    <row r="86" spans="1:4">
      <c r="A86" s="28"/>
      <c r="B86" s="27"/>
      <c r="C86" s="1" t="str">
        <f t="shared" si="2"/>
        <v>255,255,255</v>
      </c>
      <c r="D86" t="str">
        <f t="shared" si="3"/>
        <v/>
      </c>
    </row>
    <row r="87" spans="1:4">
      <c r="A87" s="28"/>
      <c r="B87" s="27"/>
      <c r="C87" s="1" t="str">
        <f t="shared" si="2"/>
        <v>255,255,255</v>
      </c>
      <c r="D87" t="str">
        <f t="shared" si="3"/>
        <v/>
      </c>
    </row>
    <row r="88" spans="1:4">
      <c r="A88" s="28"/>
      <c r="B88" s="27"/>
      <c r="C88" s="1" t="str">
        <f t="shared" si="2"/>
        <v>255,255,255</v>
      </c>
      <c r="D88" t="str">
        <f t="shared" si="3"/>
        <v/>
      </c>
    </row>
    <row r="89" spans="1:4">
      <c r="A89" s="28"/>
      <c r="B89" s="27"/>
      <c r="C89" s="1" t="str">
        <f t="shared" si="2"/>
        <v>255,255,255</v>
      </c>
      <c r="D89" t="str">
        <f t="shared" si="3"/>
        <v/>
      </c>
    </row>
    <row r="90" spans="1:4">
      <c r="A90" s="28"/>
      <c r="B90" s="27"/>
      <c r="C90" s="1" t="str">
        <f t="shared" si="2"/>
        <v>255,255,255</v>
      </c>
      <c r="D90" t="str">
        <f t="shared" si="3"/>
        <v/>
      </c>
    </row>
    <row r="91" spans="1:4">
      <c r="A91" s="28"/>
      <c r="B91" s="27"/>
      <c r="C91" s="1" t="str">
        <f t="shared" si="2"/>
        <v>255,255,255</v>
      </c>
      <c r="D91" t="str">
        <f t="shared" si="3"/>
        <v/>
      </c>
    </row>
    <row r="92" spans="1:4">
      <c r="A92" s="28"/>
      <c r="B92" s="27"/>
      <c r="C92" s="1" t="str">
        <f t="shared" si="2"/>
        <v>255,255,255</v>
      </c>
      <c r="D92" t="str">
        <f t="shared" si="3"/>
        <v/>
      </c>
    </row>
    <row r="93" spans="1:4">
      <c r="A93" s="28"/>
      <c r="B93" s="27"/>
      <c r="C93" s="1" t="str">
        <f t="shared" si="2"/>
        <v>255,255,255</v>
      </c>
      <c r="D93" t="str">
        <f t="shared" si="3"/>
        <v/>
      </c>
    </row>
    <row r="94" spans="1:4">
      <c r="A94" s="28"/>
      <c r="B94" s="27"/>
      <c r="C94" s="1" t="str">
        <f t="shared" si="2"/>
        <v>255,255,255</v>
      </c>
      <c r="D94" t="str">
        <f t="shared" si="3"/>
        <v/>
      </c>
    </row>
    <row r="95" spans="1:4">
      <c r="A95" s="28"/>
      <c r="B95" s="27"/>
      <c r="C95" s="1" t="str">
        <f t="shared" si="2"/>
        <v>255,255,255</v>
      </c>
      <c r="D95" t="str">
        <f t="shared" si="3"/>
        <v/>
      </c>
    </row>
    <row r="96" spans="1:4">
      <c r="A96" s="28"/>
      <c r="B96" s="27"/>
      <c r="C96" s="1" t="str">
        <f t="shared" si="2"/>
        <v>255,255,255</v>
      </c>
      <c r="D96" t="str">
        <f t="shared" si="3"/>
        <v/>
      </c>
    </row>
    <row r="97" spans="1:4">
      <c r="A97" s="28"/>
      <c r="B97" s="27"/>
      <c r="C97" s="1" t="str">
        <f t="shared" si="2"/>
        <v>255,255,255</v>
      </c>
      <c r="D97" t="str">
        <f t="shared" si="3"/>
        <v/>
      </c>
    </row>
    <row r="98" spans="1:4">
      <c r="A98" s="28"/>
      <c r="B98" s="27"/>
      <c r="C98" s="1" t="str">
        <f t="shared" si="2"/>
        <v>255,255,255</v>
      </c>
      <c r="D98" t="str">
        <f t="shared" si="3"/>
        <v/>
      </c>
    </row>
    <row r="99" spans="1:4">
      <c r="A99" s="28"/>
      <c r="B99" s="27"/>
      <c r="C99" s="1" t="str">
        <f t="shared" si="2"/>
        <v>255,255,255</v>
      </c>
      <c r="D99" t="str">
        <f t="shared" si="3"/>
        <v/>
      </c>
    </row>
    <row r="100" spans="1:4">
      <c r="A100" s="28"/>
      <c r="B100" s="27"/>
      <c r="C100" s="1" t="str">
        <f t="shared" si="2"/>
        <v>255,255,255</v>
      </c>
      <c r="D100" t="str">
        <f t="shared" si="3"/>
        <v/>
      </c>
    </row>
    <row r="101" spans="1:4">
      <c r="A101" s="28"/>
      <c r="B101" s="27"/>
      <c r="C101" s="1" t="str">
        <f t="shared" si="2"/>
        <v>255,255,255</v>
      </c>
      <c r="D101" t="str">
        <f t="shared" si="3"/>
        <v/>
      </c>
    </row>
    <row r="102" spans="1:4">
      <c r="A102" s="28"/>
      <c r="B102" s="27"/>
      <c r="C102" s="1" t="str">
        <f t="shared" si="2"/>
        <v>255,255,255</v>
      </c>
      <c r="D102" t="str">
        <f t="shared" si="3"/>
        <v/>
      </c>
    </row>
    <row r="103" spans="1:4">
      <c r="A103" s="28"/>
      <c r="B103" s="27"/>
      <c r="C103" s="1" t="str">
        <f t="shared" si="2"/>
        <v>255,255,255</v>
      </c>
      <c r="D103" t="str">
        <f t="shared" si="3"/>
        <v/>
      </c>
    </row>
    <row r="104" spans="1:4">
      <c r="A104" s="28"/>
      <c r="B104" s="27"/>
      <c r="C104" s="1" t="str">
        <f t="shared" si="2"/>
        <v>255,255,255</v>
      </c>
      <c r="D104" t="str">
        <f t="shared" si="3"/>
        <v/>
      </c>
    </row>
    <row r="105" spans="1:4">
      <c r="A105" s="28"/>
      <c r="B105" s="27"/>
      <c r="C105" s="1" t="str">
        <f t="shared" si="2"/>
        <v>255,255,255</v>
      </c>
      <c r="D105" t="str">
        <f t="shared" si="3"/>
        <v/>
      </c>
    </row>
    <row r="106" spans="1:4">
      <c r="A106" s="28"/>
      <c r="B106" s="27"/>
      <c r="C106" s="1" t="str">
        <f t="shared" si="2"/>
        <v>255,255,255</v>
      </c>
      <c r="D106" t="str">
        <f t="shared" si="3"/>
        <v/>
      </c>
    </row>
    <row r="107" spans="1:4">
      <c r="A107" s="28"/>
      <c r="B107" s="27"/>
      <c r="C107" s="1" t="str">
        <f t="shared" si="2"/>
        <v>255,255,255</v>
      </c>
      <c r="D107" t="str">
        <f t="shared" si="3"/>
        <v/>
      </c>
    </row>
    <row r="108" spans="1:4">
      <c r="A108" s="28"/>
      <c r="B108" s="27"/>
      <c r="C108" s="1" t="str">
        <f t="shared" si="2"/>
        <v>255,255,255</v>
      </c>
      <c r="D108" t="str">
        <f t="shared" si="3"/>
        <v/>
      </c>
    </row>
    <row r="109" spans="1:4">
      <c r="A109" s="28"/>
      <c r="B109" s="27"/>
      <c r="C109" s="1" t="str">
        <f t="shared" si="2"/>
        <v>255,255,255</v>
      </c>
      <c r="D109" t="str">
        <f t="shared" si="3"/>
        <v/>
      </c>
    </row>
    <row r="110" spans="1:4">
      <c r="A110" s="28"/>
      <c r="B110" s="27"/>
      <c r="C110" s="1" t="str">
        <f t="shared" si="2"/>
        <v>255,255,255</v>
      </c>
      <c r="D110" t="str">
        <f t="shared" si="3"/>
        <v/>
      </c>
    </row>
    <row r="111" spans="1:4">
      <c r="A111" s="28"/>
      <c r="B111" s="27"/>
      <c r="C111" s="1" t="str">
        <f t="shared" si="2"/>
        <v>255,255,255</v>
      </c>
      <c r="D111" t="str">
        <f t="shared" si="3"/>
        <v/>
      </c>
    </row>
    <row r="112" spans="1:4">
      <c r="A112" s="28"/>
      <c r="B112" s="27"/>
      <c r="C112" s="1" t="str">
        <f t="shared" si="2"/>
        <v>255,255,255</v>
      </c>
      <c r="D112" t="str">
        <f t="shared" si="3"/>
        <v/>
      </c>
    </row>
    <row r="113" spans="1:4">
      <c r="A113" s="28"/>
      <c r="B113" s="27"/>
      <c r="C113" s="1" t="str">
        <f t="shared" si="2"/>
        <v>255,255,255</v>
      </c>
      <c r="D113" t="str">
        <f t="shared" si="3"/>
        <v/>
      </c>
    </row>
    <row r="114" spans="1:4">
      <c r="A114" s="28"/>
      <c r="B114" s="27"/>
      <c r="C114" s="1" t="str">
        <f t="shared" si="2"/>
        <v>255,255,255</v>
      </c>
      <c r="D114" t="str">
        <f t="shared" si="3"/>
        <v/>
      </c>
    </row>
    <row r="115" spans="1:4">
      <c r="A115" s="28"/>
      <c r="B115" s="27"/>
      <c r="C115" s="1" t="str">
        <f t="shared" si="2"/>
        <v>255,255,255</v>
      </c>
      <c r="D115" t="str">
        <f t="shared" si="3"/>
        <v/>
      </c>
    </row>
    <row r="116" spans="1:4">
      <c r="A116" s="28"/>
      <c r="B116" s="27"/>
      <c r="C116" s="1" t="str">
        <f t="shared" si="2"/>
        <v>255,255,255</v>
      </c>
      <c r="D116" t="str">
        <f t="shared" si="3"/>
        <v/>
      </c>
    </row>
    <row r="117" spans="1:4">
      <c r="A117" s="28"/>
      <c r="B117" s="27"/>
      <c r="C117" s="1" t="str">
        <f t="shared" si="2"/>
        <v>255,255,255</v>
      </c>
      <c r="D117" t="str">
        <f t="shared" si="3"/>
        <v/>
      </c>
    </row>
    <row r="118" spans="1:4">
      <c r="A118" s="28"/>
      <c r="B118" s="27"/>
      <c r="C118" s="1" t="str">
        <f t="shared" si="2"/>
        <v>255,255,255</v>
      </c>
      <c r="D118" t="str">
        <f t="shared" si="3"/>
        <v/>
      </c>
    </row>
    <row r="119" spans="1:4">
      <c r="A119" s="28"/>
      <c r="B119" s="27"/>
      <c r="C119" s="1" t="str">
        <f t="shared" si="2"/>
        <v>255,255,255</v>
      </c>
      <c r="D119" t="str">
        <f t="shared" si="3"/>
        <v/>
      </c>
    </row>
    <row r="120" spans="1:4">
      <c r="A120" s="28"/>
      <c r="B120" s="27"/>
      <c r="C120" s="1" t="str">
        <f t="shared" si="2"/>
        <v>255,255,255</v>
      </c>
      <c r="D120" t="str">
        <f t="shared" si="3"/>
        <v/>
      </c>
    </row>
    <row r="121" spans="1:4">
      <c r="A121" s="28"/>
      <c r="B121" s="27"/>
      <c r="C121" s="1" t="str">
        <f t="shared" si="2"/>
        <v>255,255,255</v>
      </c>
      <c r="D121" t="str">
        <f t="shared" si="3"/>
        <v/>
      </c>
    </row>
    <row r="122" spans="1:4">
      <c r="A122" s="27"/>
      <c r="B122" s="27"/>
      <c r="C122" s="1" t="str">
        <f t="shared" si="2"/>
        <v>255,255,255</v>
      </c>
      <c r="D122" t="str">
        <f t="shared" si="3"/>
        <v/>
      </c>
    </row>
    <row r="123" spans="1:4">
      <c r="A123" s="27"/>
      <c r="B123" s="27"/>
      <c r="C123" s="1" t="str">
        <f t="shared" si="2"/>
        <v>255,255,255</v>
      </c>
      <c r="D123" t="str">
        <f t="shared" si="3"/>
        <v/>
      </c>
    </row>
    <row r="124" spans="1:4">
      <c r="A124" s="27"/>
      <c r="B124" s="27"/>
      <c r="C124" s="1" t="str">
        <f t="shared" si="2"/>
        <v>255,255,255</v>
      </c>
      <c r="D124" t="str">
        <f t="shared" si="3"/>
        <v/>
      </c>
    </row>
    <row r="125" spans="1:4">
      <c r="A125" s="27"/>
      <c r="B125" s="27"/>
      <c r="C125" s="1" t="str">
        <f t="shared" si="2"/>
        <v>255,255,255</v>
      </c>
      <c r="D125" t="str">
        <f t="shared" si="3"/>
        <v/>
      </c>
    </row>
    <row r="126" spans="1:4">
      <c r="A126" s="27"/>
      <c r="B126" s="27"/>
      <c r="C126" s="1" t="str">
        <f t="shared" si="2"/>
        <v>255,255,255</v>
      </c>
      <c r="D126" t="str">
        <f t="shared" si="3"/>
        <v/>
      </c>
    </row>
    <row r="127" spans="1:4">
      <c r="A127" s="27"/>
      <c r="B127" s="27"/>
      <c r="C127" s="1" t="str">
        <f t="shared" si="2"/>
        <v>255,255,255</v>
      </c>
      <c r="D127" t="str">
        <f t="shared" si="3"/>
        <v/>
      </c>
    </row>
    <row r="128" spans="1:4">
      <c r="A128" s="27"/>
      <c r="B128" s="27"/>
      <c r="C128" s="1" t="str">
        <f t="shared" si="2"/>
        <v>255,255,255</v>
      </c>
      <c r="D128" t="str">
        <f t="shared" si="3"/>
        <v/>
      </c>
    </row>
    <row r="129" spans="1:4">
      <c r="A129" s="27"/>
      <c r="B129" s="27"/>
      <c r="C129" s="1" t="str">
        <f t="shared" si="2"/>
        <v>255,255,255</v>
      </c>
      <c r="D129" t="str">
        <f t="shared" si="3"/>
        <v/>
      </c>
    </row>
    <row r="130" spans="1:4">
      <c r="A130" s="27"/>
      <c r="B130" s="27"/>
      <c r="C130" s="1" t="str">
        <f t="shared" si="2"/>
        <v>255,255,255</v>
      </c>
      <c r="D130" t="str">
        <f t="shared" si="3"/>
        <v/>
      </c>
    </row>
    <row r="131" spans="1:4">
      <c r="A131" s="27"/>
      <c r="B131" s="27"/>
      <c r="C131" s="1" t="str">
        <f t="shared" ref="C131:C151" si="4">getRGB2(B131)</f>
        <v>255,255,255</v>
      </c>
      <c r="D131" t="str">
        <f t="shared" si="3"/>
        <v/>
      </c>
    </row>
    <row r="132" spans="1:4">
      <c r="A132" s="27"/>
      <c r="B132" s="27"/>
      <c r="C132" s="1" t="str">
        <f t="shared" si="4"/>
        <v>255,255,255</v>
      </c>
      <c r="D132" t="str">
        <f t="shared" ref="D132:D195" si="5">IF(A132="","",CONCATENATE("node_color_list[i].push({node_label: """,A132,""", node_color: ""rgb(",C132,")"" }) "))</f>
        <v/>
      </c>
    </row>
    <row r="133" spans="1:4">
      <c r="A133" s="27"/>
      <c r="B133" s="27"/>
      <c r="C133" s="1" t="str">
        <f t="shared" si="4"/>
        <v>255,255,255</v>
      </c>
      <c r="D133" t="str">
        <f t="shared" si="5"/>
        <v/>
      </c>
    </row>
    <row r="134" spans="1:4">
      <c r="A134" s="27"/>
      <c r="B134" s="27"/>
      <c r="C134" s="1" t="str">
        <f t="shared" si="4"/>
        <v>255,255,255</v>
      </c>
      <c r="D134" t="str">
        <f t="shared" si="5"/>
        <v/>
      </c>
    </row>
    <row r="135" spans="1:4">
      <c r="A135" s="27"/>
      <c r="B135" s="27"/>
      <c r="C135" s="1" t="str">
        <f t="shared" si="4"/>
        <v>255,255,255</v>
      </c>
      <c r="D135" t="str">
        <f t="shared" si="5"/>
        <v/>
      </c>
    </row>
    <row r="136" spans="1:4">
      <c r="A136" s="27"/>
      <c r="B136" s="27"/>
      <c r="C136" s="1" t="str">
        <f t="shared" si="4"/>
        <v>255,255,255</v>
      </c>
      <c r="D136" t="str">
        <f t="shared" si="5"/>
        <v/>
      </c>
    </row>
    <row r="137" spans="1:4">
      <c r="A137" s="27"/>
      <c r="B137" s="27"/>
      <c r="C137" s="1" t="str">
        <f t="shared" si="4"/>
        <v>255,255,255</v>
      </c>
      <c r="D137" t="str">
        <f t="shared" si="5"/>
        <v/>
      </c>
    </row>
    <row r="138" spans="1:4">
      <c r="A138" s="27"/>
      <c r="B138" s="27"/>
      <c r="C138" s="1" t="str">
        <f t="shared" si="4"/>
        <v>255,255,255</v>
      </c>
      <c r="D138" t="str">
        <f t="shared" si="5"/>
        <v/>
      </c>
    </row>
    <row r="139" spans="1:4">
      <c r="A139" s="27"/>
      <c r="B139" s="27"/>
      <c r="C139" s="1" t="str">
        <f t="shared" si="4"/>
        <v>255,255,255</v>
      </c>
      <c r="D139" t="str">
        <f t="shared" si="5"/>
        <v/>
      </c>
    </row>
    <row r="140" spans="1:4">
      <c r="A140" s="27"/>
      <c r="B140" s="27"/>
      <c r="C140" s="1" t="str">
        <f t="shared" si="4"/>
        <v>255,255,255</v>
      </c>
      <c r="D140" t="str">
        <f t="shared" si="5"/>
        <v/>
      </c>
    </row>
    <row r="141" spans="1:4">
      <c r="A141" s="27"/>
      <c r="B141" s="27"/>
      <c r="C141" s="1" t="str">
        <f t="shared" si="4"/>
        <v>255,255,255</v>
      </c>
      <c r="D141" t="str">
        <f t="shared" si="5"/>
        <v/>
      </c>
    </row>
    <row r="142" spans="1:4">
      <c r="A142" s="27"/>
      <c r="B142" s="27"/>
      <c r="C142" s="1" t="str">
        <f t="shared" si="4"/>
        <v>255,255,255</v>
      </c>
      <c r="D142" t="str">
        <f t="shared" si="5"/>
        <v/>
      </c>
    </row>
    <row r="143" spans="1:4">
      <c r="A143" s="27"/>
      <c r="B143" s="27"/>
      <c r="C143" s="1" t="str">
        <f t="shared" si="4"/>
        <v>255,255,255</v>
      </c>
      <c r="D143" t="str">
        <f t="shared" si="5"/>
        <v/>
      </c>
    </row>
    <row r="144" spans="1:4">
      <c r="A144" s="27"/>
      <c r="B144" s="27"/>
      <c r="C144" s="1" t="str">
        <f t="shared" si="4"/>
        <v>255,255,255</v>
      </c>
      <c r="D144" t="str">
        <f t="shared" si="5"/>
        <v/>
      </c>
    </row>
    <row r="145" spans="1:4">
      <c r="A145" s="27"/>
      <c r="B145" s="27"/>
      <c r="C145" s="1" t="str">
        <f t="shared" si="4"/>
        <v>255,255,255</v>
      </c>
      <c r="D145" t="str">
        <f t="shared" si="5"/>
        <v/>
      </c>
    </row>
    <row r="146" spans="1:4">
      <c r="A146" s="27"/>
      <c r="B146" s="27"/>
      <c r="C146" s="1" t="str">
        <f t="shared" si="4"/>
        <v>255,255,255</v>
      </c>
      <c r="D146" t="str">
        <f t="shared" si="5"/>
        <v/>
      </c>
    </row>
    <row r="147" spans="1:4">
      <c r="A147" s="27"/>
      <c r="B147" s="27"/>
      <c r="C147" s="1" t="str">
        <f t="shared" si="4"/>
        <v>255,255,255</v>
      </c>
      <c r="D147" t="str">
        <f t="shared" si="5"/>
        <v/>
      </c>
    </row>
    <row r="148" spans="1:4">
      <c r="A148" s="27"/>
      <c r="B148" s="27"/>
      <c r="C148" s="1" t="str">
        <f t="shared" si="4"/>
        <v>255,255,255</v>
      </c>
      <c r="D148" t="str">
        <f t="shared" si="5"/>
        <v/>
      </c>
    </row>
    <row r="149" spans="1:4">
      <c r="A149" s="27"/>
      <c r="B149" s="27"/>
      <c r="C149" s="1" t="str">
        <f t="shared" si="4"/>
        <v>255,255,255</v>
      </c>
      <c r="D149" t="str">
        <f t="shared" si="5"/>
        <v/>
      </c>
    </row>
    <row r="150" spans="1:4">
      <c r="A150" s="27"/>
      <c r="B150" s="27"/>
      <c r="C150" s="1" t="str">
        <f t="shared" si="4"/>
        <v>255,255,255</v>
      </c>
      <c r="D150" t="str">
        <f t="shared" si="5"/>
        <v/>
      </c>
    </row>
    <row r="151" spans="1:4">
      <c r="A151" s="27"/>
      <c r="B151" s="27"/>
      <c r="C151" s="1" t="str">
        <f t="shared" si="4"/>
        <v>255,255,255</v>
      </c>
      <c r="D151" t="str">
        <f t="shared" si="5"/>
        <v/>
      </c>
    </row>
    <row r="152" spans="1:4">
      <c r="A152" s="27"/>
      <c r="B152" s="27"/>
      <c r="D152" t="str">
        <f t="shared" si="5"/>
        <v/>
      </c>
    </row>
    <row r="153" spans="1:4">
      <c r="A153" s="27"/>
      <c r="B153" s="27"/>
      <c r="D153" t="str">
        <f t="shared" si="5"/>
        <v/>
      </c>
    </row>
    <row r="154" spans="1:4">
      <c r="A154" s="27"/>
      <c r="B154" s="27"/>
      <c r="D154" t="str">
        <f t="shared" si="5"/>
        <v/>
      </c>
    </row>
    <row r="155" spans="1:4">
      <c r="A155" s="27"/>
      <c r="B155" s="27"/>
      <c r="D155" t="str">
        <f t="shared" si="5"/>
        <v/>
      </c>
    </row>
    <row r="156" spans="1:4">
      <c r="A156" s="27"/>
      <c r="B156" s="27"/>
      <c r="D156" t="str">
        <f t="shared" si="5"/>
        <v/>
      </c>
    </row>
    <row r="157" spans="1:4">
      <c r="A157" s="27"/>
      <c r="B157" s="27"/>
      <c r="D157" t="str">
        <f t="shared" si="5"/>
        <v/>
      </c>
    </row>
    <row r="158" spans="1:4">
      <c r="D158" t="str">
        <f t="shared" si="5"/>
        <v/>
      </c>
    </row>
    <row r="159" spans="1:4">
      <c r="D159" t="str">
        <f t="shared" si="5"/>
        <v/>
      </c>
    </row>
    <row r="160" spans="1:4">
      <c r="D160" t="str">
        <f t="shared" si="5"/>
        <v/>
      </c>
    </row>
    <row r="161" spans="4:4">
      <c r="D161" t="str">
        <f t="shared" si="5"/>
        <v/>
      </c>
    </row>
    <row r="162" spans="4:4">
      <c r="D162" t="str">
        <f t="shared" si="5"/>
        <v/>
      </c>
    </row>
    <row r="163" spans="4:4">
      <c r="D163" t="str">
        <f t="shared" si="5"/>
        <v/>
      </c>
    </row>
    <row r="164" spans="4:4">
      <c r="D164" t="str">
        <f t="shared" si="5"/>
        <v/>
      </c>
    </row>
    <row r="165" spans="4:4">
      <c r="D165" t="str">
        <f t="shared" si="5"/>
        <v/>
      </c>
    </row>
    <row r="166" spans="4:4">
      <c r="D166" t="str">
        <f t="shared" si="5"/>
        <v/>
      </c>
    </row>
    <row r="167" spans="4:4">
      <c r="D167" t="str">
        <f t="shared" si="5"/>
        <v/>
      </c>
    </row>
    <row r="168" spans="4:4">
      <c r="D168" t="str">
        <f t="shared" si="5"/>
        <v/>
      </c>
    </row>
    <row r="169" spans="4:4">
      <c r="D169" t="str">
        <f t="shared" si="5"/>
        <v/>
      </c>
    </row>
    <row r="170" spans="4:4">
      <c r="D170" t="str">
        <f t="shared" si="5"/>
        <v/>
      </c>
    </row>
    <row r="171" spans="4:4">
      <c r="D171" t="str">
        <f t="shared" si="5"/>
        <v/>
      </c>
    </row>
    <row r="172" spans="4:4">
      <c r="D172" t="str">
        <f t="shared" si="5"/>
        <v/>
      </c>
    </row>
    <row r="173" spans="4:4">
      <c r="D173" t="str">
        <f t="shared" si="5"/>
        <v/>
      </c>
    </row>
    <row r="174" spans="4:4">
      <c r="D174" t="str">
        <f t="shared" si="5"/>
        <v/>
      </c>
    </row>
    <row r="175" spans="4:4">
      <c r="D175" t="str">
        <f t="shared" si="5"/>
        <v/>
      </c>
    </row>
    <row r="176" spans="4:4">
      <c r="D176" t="str">
        <f t="shared" si="5"/>
        <v/>
      </c>
    </row>
    <row r="177" spans="4:4">
      <c r="D177" t="str">
        <f t="shared" si="5"/>
        <v/>
      </c>
    </row>
    <row r="178" spans="4:4">
      <c r="D178" t="str">
        <f t="shared" si="5"/>
        <v/>
      </c>
    </row>
    <row r="179" spans="4:4">
      <c r="D179" t="str">
        <f t="shared" si="5"/>
        <v/>
      </c>
    </row>
    <row r="180" spans="4:4">
      <c r="D180" t="str">
        <f t="shared" si="5"/>
        <v/>
      </c>
    </row>
    <row r="181" spans="4:4">
      <c r="D181" t="str">
        <f t="shared" si="5"/>
        <v/>
      </c>
    </row>
    <row r="182" spans="4:4">
      <c r="D182" t="str">
        <f t="shared" si="5"/>
        <v/>
      </c>
    </row>
    <row r="183" spans="4:4">
      <c r="D183" t="str">
        <f t="shared" si="5"/>
        <v/>
      </c>
    </row>
    <row r="184" spans="4:4">
      <c r="D184" t="str">
        <f t="shared" si="5"/>
        <v/>
      </c>
    </row>
    <row r="185" spans="4:4">
      <c r="D185" t="str">
        <f t="shared" si="5"/>
        <v/>
      </c>
    </row>
    <row r="186" spans="4:4">
      <c r="D186" t="str">
        <f t="shared" si="5"/>
        <v/>
      </c>
    </row>
    <row r="187" spans="4:4">
      <c r="D187" t="str">
        <f t="shared" si="5"/>
        <v/>
      </c>
    </row>
    <row r="188" spans="4:4">
      <c r="D188" t="str">
        <f t="shared" si="5"/>
        <v/>
      </c>
    </row>
    <row r="189" spans="4:4">
      <c r="D189" t="str">
        <f t="shared" si="5"/>
        <v/>
      </c>
    </row>
    <row r="190" spans="4:4">
      <c r="D190" t="str">
        <f t="shared" si="5"/>
        <v/>
      </c>
    </row>
    <row r="191" spans="4:4">
      <c r="D191" t="str">
        <f t="shared" si="5"/>
        <v/>
      </c>
    </row>
    <row r="192" spans="4:4">
      <c r="D192" t="str">
        <f t="shared" si="5"/>
        <v/>
      </c>
    </row>
    <row r="193" spans="4:4">
      <c r="D193" t="str">
        <f t="shared" si="5"/>
        <v/>
      </c>
    </row>
    <row r="194" spans="4:4">
      <c r="D194" t="str">
        <f t="shared" si="5"/>
        <v/>
      </c>
    </row>
    <row r="195" spans="4:4">
      <c r="D195" t="str">
        <f t="shared" si="5"/>
        <v/>
      </c>
    </row>
    <row r="196" spans="4:4">
      <c r="D196" t="str">
        <f t="shared" ref="D196:D232" si="6">IF(A196="","",CONCATENATE("node_color_list[i].push({node_label: """,A196,""", node_color: ""rgb(",C196,")"" }) "))</f>
        <v/>
      </c>
    </row>
    <row r="197" spans="4:4">
      <c r="D197" t="str">
        <f t="shared" si="6"/>
        <v/>
      </c>
    </row>
    <row r="198" spans="4:4">
      <c r="D198" t="str">
        <f t="shared" si="6"/>
        <v/>
      </c>
    </row>
    <row r="199" spans="4:4">
      <c r="D199" t="str">
        <f t="shared" si="6"/>
        <v/>
      </c>
    </row>
    <row r="200" spans="4:4">
      <c r="D200" t="str">
        <f t="shared" si="6"/>
        <v/>
      </c>
    </row>
    <row r="201" spans="4:4">
      <c r="D201" t="str">
        <f t="shared" si="6"/>
        <v/>
      </c>
    </row>
    <row r="202" spans="4:4">
      <c r="D202" t="str">
        <f t="shared" si="6"/>
        <v/>
      </c>
    </row>
    <row r="203" spans="4:4">
      <c r="D203" t="str">
        <f t="shared" si="6"/>
        <v/>
      </c>
    </row>
    <row r="204" spans="4:4">
      <c r="D204" t="str">
        <f t="shared" si="6"/>
        <v/>
      </c>
    </row>
    <row r="205" spans="4:4">
      <c r="D205" t="str">
        <f t="shared" si="6"/>
        <v/>
      </c>
    </row>
    <row r="206" spans="4:4">
      <c r="D206" t="str">
        <f t="shared" si="6"/>
        <v/>
      </c>
    </row>
    <row r="207" spans="4:4">
      <c r="D207" t="str">
        <f t="shared" si="6"/>
        <v/>
      </c>
    </row>
    <row r="208" spans="4:4">
      <c r="D208" t="str">
        <f t="shared" si="6"/>
        <v/>
      </c>
    </row>
    <row r="209" spans="4:4">
      <c r="D209" t="str">
        <f t="shared" si="6"/>
        <v/>
      </c>
    </row>
    <row r="210" spans="4:4">
      <c r="D210" t="str">
        <f t="shared" si="6"/>
        <v/>
      </c>
    </row>
    <row r="211" spans="4:4">
      <c r="D211" t="str">
        <f t="shared" si="6"/>
        <v/>
      </c>
    </row>
    <row r="212" spans="4:4">
      <c r="D212" t="str">
        <f t="shared" si="6"/>
        <v/>
      </c>
    </row>
    <row r="213" spans="4:4">
      <c r="D213" t="str">
        <f t="shared" si="6"/>
        <v/>
      </c>
    </row>
    <row r="214" spans="4:4">
      <c r="D214" t="str">
        <f t="shared" si="6"/>
        <v/>
      </c>
    </row>
    <row r="215" spans="4:4">
      <c r="D215" t="str">
        <f t="shared" si="6"/>
        <v/>
      </c>
    </row>
    <row r="216" spans="4:4">
      <c r="D216" t="str">
        <f t="shared" si="6"/>
        <v/>
      </c>
    </row>
    <row r="217" spans="4:4">
      <c r="D217" t="str">
        <f t="shared" si="6"/>
        <v/>
      </c>
    </row>
    <row r="218" spans="4:4">
      <c r="D218" t="str">
        <f t="shared" si="6"/>
        <v/>
      </c>
    </row>
    <row r="219" spans="4:4">
      <c r="D219" t="str">
        <f t="shared" si="6"/>
        <v/>
      </c>
    </row>
    <row r="220" spans="4:4">
      <c r="D220" t="str">
        <f t="shared" si="6"/>
        <v/>
      </c>
    </row>
    <row r="221" spans="4:4">
      <c r="D221" t="str">
        <f t="shared" si="6"/>
        <v/>
      </c>
    </row>
    <row r="222" spans="4:4">
      <c r="D222" t="str">
        <f t="shared" si="6"/>
        <v/>
      </c>
    </row>
    <row r="223" spans="4:4">
      <c r="D223" t="str">
        <f t="shared" si="6"/>
        <v/>
      </c>
    </row>
    <row r="224" spans="4:4">
      <c r="D224" t="str">
        <f t="shared" si="6"/>
        <v/>
      </c>
    </row>
    <row r="225" spans="4:4">
      <c r="D225" t="str">
        <f t="shared" si="6"/>
        <v/>
      </c>
    </row>
    <row r="226" spans="4:4">
      <c r="D226" t="str">
        <f t="shared" si="6"/>
        <v/>
      </c>
    </row>
    <row r="227" spans="4:4">
      <c r="D227" t="str">
        <f t="shared" si="6"/>
        <v/>
      </c>
    </row>
    <row r="228" spans="4:4">
      <c r="D228" t="str">
        <f t="shared" si="6"/>
        <v/>
      </c>
    </row>
    <row r="229" spans="4:4">
      <c r="D229" t="str">
        <f t="shared" si="6"/>
        <v/>
      </c>
    </row>
    <row r="230" spans="4:4">
      <c r="D230" t="str">
        <f t="shared" si="6"/>
        <v/>
      </c>
    </row>
    <row r="231" spans="4:4">
      <c r="D231" t="str">
        <f t="shared" si="6"/>
        <v/>
      </c>
    </row>
    <row r="232" spans="4:4">
      <c r="D232" t="str">
        <f t="shared" si="6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25D5-5C3D-4132-BB30-6AB43C94EC64}">
  <sheetPr codeName="Sheet3"/>
  <dimension ref="A1:F168"/>
  <sheetViews>
    <sheetView tabSelected="1" zoomScaleNormal="100" workbookViewId="0">
      <selection activeCell="C20" sqref="C20"/>
    </sheetView>
  </sheetViews>
  <sheetFormatPr defaultRowHeight="15"/>
  <cols>
    <col min="1" max="1" width="30.140625" customWidth="1"/>
    <col min="2" max="2" width="66.5703125" customWidth="1"/>
    <col min="4" max="4" width="15.28515625" customWidth="1"/>
    <col min="5" max="5" width="132.5703125" customWidth="1"/>
  </cols>
  <sheetData>
    <row r="1" spans="1:5" ht="59.45" customHeight="1" thickBot="1"/>
    <row r="2" spans="1:5" s="7" customFormat="1" ht="15.75" thickBot="1">
      <c r="A2" s="5" t="s">
        <v>125</v>
      </c>
      <c r="B2" s="7" t="s">
        <v>126</v>
      </c>
      <c r="C2" s="6" t="s">
        <v>1</v>
      </c>
      <c r="D2" s="7" t="s">
        <v>2</v>
      </c>
      <c r="E2" s="7" t="s">
        <v>3</v>
      </c>
    </row>
    <row r="3" spans="1:5">
      <c r="A3" t="s">
        <v>127</v>
      </c>
      <c r="B3" t="s">
        <v>291</v>
      </c>
      <c r="C3" s="11"/>
      <c r="D3" s="1" t="str">
        <f t="shared" ref="D3:D60" si="0">getRGB2(C3)</f>
        <v>182,161,255</v>
      </c>
      <c r="E3" t="str">
        <f>CONCATENATE( "node_color_list[i].push({node_department:""",A3,""",node_label: """, B3, """, node_color: ""rgb(",D3,")"" }) ")</f>
        <v xml:space="preserve">node_color_list[i].push({node_department:"Governor",node_label: "Central Svcs Cost Allocation", node_color: "rgb(182,161,255)" }) </v>
      </c>
    </row>
    <row r="4" spans="1:5">
      <c r="A4" t="s">
        <v>127</v>
      </c>
      <c r="B4" t="s">
        <v>149</v>
      </c>
      <c r="C4" s="12"/>
      <c r="D4" s="1" t="str">
        <f t="shared" si="0"/>
        <v>255,255,5</v>
      </c>
      <c r="E4" t="str">
        <f t="shared" ref="E4:E67" si="1">CONCATENATE( "node_color_list[i].push({node_department:""",A4,""",node_label: """, B4, """, node_color: ""rgb(",D4,")"" }) ")</f>
        <v xml:space="preserve">node_color_list[i].push({node_department:"Governor",node_label: "Commissions/Special Offices", node_color: "rgb(255,255,5)" }) </v>
      </c>
    </row>
    <row r="5" spans="1:5">
      <c r="A5" t="s">
        <v>127</v>
      </c>
      <c r="B5" t="s">
        <v>150</v>
      </c>
      <c r="C5" s="13"/>
      <c r="D5" s="1" t="str">
        <f t="shared" si="0"/>
        <v>255,96,6</v>
      </c>
      <c r="E5" t="str">
        <f t="shared" si="1"/>
        <v xml:space="preserve">node_color_list[i].push({node_department:"Governor",node_label: "Executive Operations", node_color: "rgb(255,96,6)" }) </v>
      </c>
    </row>
    <row r="6" spans="1:5">
      <c r="A6" t="s">
        <v>127</v>
      </c>
      <c r="B6" t="s">
        <v>151</v>
      </c>
      <c r="C6" s="14"/>
      <c r="D6" s="1" t="str">
        <f t="shared" si="0"/>
        <v>25,0,253</v>
      </c>
      <c r="E6" t="str">
        <f t="shared" si="1"/>
        <v xml:space="preserve">node_color_list[i].push({node_department:"Governor",node_label: "Gov State Facilities Rent", node_color: "rgb(25,0,253)" }) </v>
      </c>
    </row>
    <row r="7" spans="1:5">
      <c r="A7" t="s">
        <v>127</v>
      </c>
      <c r="B7" t="s">
        <v>152</v>
      </c>
      <c r="C7" s="15"/>
      <c r="D7" s="1" t="str">
        <f t="shared" si="0"/>
        <v>0,242,42</v>
      </c>
      <c r="E7" t="str">
        <f t="shared" si="1"/>
        <v xml:space="preserve">node_color_list[i].push({node_department:"Governor",node_label: "Office of Management &amp; Budget", node_color: "rgb(0,242,42)" }) </v>
      </c>
    </row>
    <row r="8" spans="1:5">
      <c r="A8" t="s">
        <v>127</v>
      </c>
      <c r="B8" t="s">
        <v>153</v>
      </c>
      <c r="C8" s="16"/>
      <c r="D8" s="1" t="str">
        <f t="shared" si="0"/>
        <v>0,127,212</v>
      </c>
      <c r="E8" t="str">
        <f t="shared" si="1"/>
        <v xml:space="preserve">node_color_list[i].push({node_department:"Governor",node_label: "Elections", node_color: "rgb(0,127,212)" }) </v>
      </c>
    </row>
    <row r="9" spans="1:5">
      <c r="A9" t="s">
        <v>128</v>
      </c>
      <c r="B9" t="s">
        <v>154</v>
      </c>
      <c r="C9" s="11"/>
      <c r="D9" s="1" t="str">
        <f t="shared" si="0"/>
        <v>182,161,255</v>
      </c>
      <c r="E9" t="str">
        <f t="shared" si="1"/>
        <v xml:space="preserve">node_color_list[i].push({node_department:"Administration",node_label: "Centralized Admin. Services", node_color: "rgb(182,161,255)" }) </v>
      </c>
    </row>
    <row r="10" spans="1:5">
      <c r="A10" t="s">
        <v>128</v>
      </c>
      <c r="B10" t="s">
        <v>155</v>
      </c>
      <c r="C10" s="12"/>
      <c r="D10" s="1" t="str">
        <f t="shared" si="0"/>
        <v>255,255,5</v>
      </c>
      <c r="E10" t="str">
        <f t="shared" si="1"/>
        <v xml:space="preserve">node_color_list[i].push({node_department:"Administration",node_label: "Shared Services of Alaska", node_color: "rgb(255,255,5)" }) </v>
      </c>
    </row>
    <row r="11" spans="1:5">
      <c r="A11" t="s">
        <v>128</v>
      </c>
      <c r="B11" t="s">
        <v>156</v>
      </c>
      <c r="C11" s="13"/>
      <c r="D11" s="1" t="str">
        <f t="shared" si="0"/>
        <v>255,96,6</v>
      </c>
      <c r="E11" t="str">
        <f t="shared" si="1"/>
        <v xml:space="preserve">node_color_list[i].push({node_department:"Administration",node_label: "Office of IT", node_color: "rgb(255,96,6)" }) </v>
      </c>
    </row>
    <row r="12" spans="1:5">
      <c r="A12" t="s">
        <v>128</v>
      </c>
      <c r="B12" t="s">
        <v>157</v>
      </c>
      <c r="C12" s="14"/>
      <c r="D12" s="1" t="str">
        <f t="shared" si="0"/>
        <v>25,0,253</v>
      </c>
      <c r="E12" t="str">
        <f t="shared" si="1"/>
        <v xml:space="preserve">node_color_list[i].push({node_department:"Administration",node_label: "Admin State Facilities Rent", node_color: "rgb(25,0,253)" }) </v>
      </c>
    </row>
    <row r="13" spans="1:5">
      <c r="A13" t="s">
        <v>128</v>
      </c>
      <c r="B13" t="s">
        <v>158</v>
      </c>
      <c r="C13" s="15"/>
      <c r="D13" s="1" t="str">
        <f t="shared" si="0"/>
        <v>0,242,42</v>
      </c>
      <c r="E13" t="str">
        <f t="shared" si="1"/>
        <v xml:space="preserve">node_color_list[i].push({node_department:"Administration",node_label: "Public Communications Services", node_color: "rgb(0,242,42)" }) </v>
      </c>
    </row>
    <row r="14" spans="1:5">
      <c r="A14" t="s">
        <v>128</v>
      </c>
      <c r="B14" t="s">
        <v>159</v>
      </c>
      <c r="C14" s="16"/>
      <c r="D14" s="1" t="str">
        <f t="shared" si="0"/>
        <v>0,127,212</v>
      </c>
      <c r="E14" t="str">
        <f t="shared" si="1"/>
        <v xml:space="preserve">node_color_list[i].push({node_department:"Administration",node_label: "Risk Management", node_color: "rgb(0,127,212)" }) </v>
      </c>
    </row>
    <row r="15" spans="1:5">
      <c r="A15" t="s">
        <v>128</v>
      </c>
      <c r="B15" t="s">
        <v>160</v>
      </c>
      <c r="C15" s="17"/>
      <c r="D15" s="1" t="str">
        <f t="shared" si="0"/>
        <v>109,177,2</v>
      </c>
      <c r="E15" t="str">
        <f t="shared" si="1"/>
        <v xml:space="preserve">node_color_list[i].push({node_department:"Administration",node_label: "Legal &amp; Advocacy Services", node_color: "rgb(109,177,2)" }) </v>
      </c>
    </row>
    <row r="16" spans="1:5">
      <c r="A16" t="s">
        <v>128</v>
      </c>
      <c r="B16" t="s">
        <v>161</v>
      </c>
      <c r="C16" s="18"/>
      <c r="D16" s="1" t="str">
        <f t="shared" si="0"/>
        <v>145,62,225</v>
      </c>
      <c r="E16" t="str">
        <f t="shared" si="1"/>
        <v xml:space="preserve">node_color_list[i].push({node_department:"Administration",node_label: "Alaska Public Offices Comm", node_color: "rgb(145,62,225)" }) </v>
      </c>
    </row>
    <row r="17" spans="1:5">
      <c r="A17" t="s">
        <v>128</v>
      </c>
      <c r="B17" t="s">
        <v>162</v>
      </c>
      <c r="C17" s="19"/>
      <c r="D17" s="1" t="str">
        <f t="shared" si="0"/>
        <v>71,16,162</v>
      </c>
      <c r="E17" t="str">
        <f t="shared" si="1"/>
        <v xml:space="preserve">node_color_list[i].push({node_department:"Administration",node_label: "Division of Motor Vehicles", node_color: "rgb(71,16,162)" }) </v>
      </c>
    </row>
    <row r="18" spans="1:5">
      <c r="A18" t="s">
        <v>129</v>
      </c>
      <c r="B18" t="s">
        <v>164</v>
      </c>
      <c r="C18" s="13"/>
      <c r="D18" s="1" t="str">
        <f t="shared" si="0"/>
        <v>255,96,6</v>
      </c>
      <c r="E18" t="str">
        <f t="shared" si="1"/>
        <v xml:space="preserve">node_color_list[i].push({node_department:"Law",node_label: "Criminal Division", node_color: "rgb(255,96,6)" }) </v>
      </c>
    </row>
    <row r="19" spans="1:5">
      <c r="A19" t="s">
        <v>129</v>
      </c>
      <c r="B19" t="s">
        <v>165</v>
      </c>
      <c r="C19" s="12"/>
      <c r="D19" s="1" t="str">
        <f t="shared" si="0"/>
        <v>255,255,5</v>
      </c>
      <c r="E19" t="str">
        <f t="shared" si="1"/>
        <v xml:space="preserve">node_color_list[i].push({node_department:"Law",node_label: "Civil Division", node_color: "rgb(255,255,5)" }) </v>
      </c>
    </row>
    <row r="20" spans="1:5">
      <c r="A20" t="s">
        <v>129</v>
      </c>
      <c r="B20" t="s">
        <v>166</v>
      </c>
      <c r="C20" s="11"/>
      <c r="D20" s="1" t="str">
        <f t="shared" si="0"/>
        <v>182,161,255</v>
      </c>
      <c r="E20" t="str">
        <f t="shared" si="1"/>
        <v xml:space="preserve">node_color_list[i].push({node_department:"Law",node_label: "Administration and Support", node_color: "rgb(182,161,255)" }) </v>
      </c>
    </row>
    <row r="21" spans="1:5">
      <c r="A21" t="s">
        <v>129</v>
      </c>
      <c r="B21" t="s">
        <v>163</v>
      </c>
      <c r="C21" s="14"/>
      <c r="D21" s="1" t="str">
        <f t="shared" si="0"/>
        <v>25,0,253</v>
      </c>
      <c r="E21" t="str">
        <f t="shared" si="1"/>
        <v xml:space="preserve">node_color_list[i].push({node_department:"Law",node_label: "Legal Contracts ", node_color: "rgb(25,0,253)" }) </v>
      </c>
    </row>
    <row r="22" spans="1:5">
      <c r="A22" t="s">
        <v>130</v>
      </c>
      <c r="B22" t="s">
        <v>167</v>
      </c>
      <c r="C22" s="13"/>
      <c r="D22" s="1" t="str">
        <f t="shared" si="0"/>
        <v>255,96,6</v>
      </c>
      <c r="E22" t="str">
        <f t="shared" si="1"/>
        <v xml:space="preserve">node_color_list[i].push({node_department:"Revenue",node_label: "Taxation and Treasury", node_color: "rgb(255,96,6)" }) </v>
      </c>
    </row>
    <row r="23" spans="1:5">
      <c r="A23" t="s">
        <v>130</v>
      </c>
      <c r="B23" t="s">
        <v>168</v>
      </c>
      <c r="C23" s="12"/>
      <c r="D23" s="1" t="str">
        <f t="shared" si="0"/>
        <v>255,255,5</v>
      </c>
      <c r="E23" t="str">
        <f t="shared" si="1"/>
        <v xml:space="preserve">node_color_list[i].push({node_department:"Revenue",node_label: "Child Support Services", node_color: "rgb(255,255,5)" }) </v>
      </c>
    </row>
    <row r="24" spans="1:5">
      <c r="A24" t="s">
        <v>130</v>
      </c>
      <c r="B24" t="s">
        <v>166</v>
      </c>
      <c r="C24" s="11"/>
      <c r="D24" s="1" t="str">
        <f t="shared" si="0"/>
        <v>182,161,255</v>
      </c>
      <c r="E24" t="str">
        <f t="shared" si="1"/>
        <v xml:space="preserve">node_color_list[i].push({node_department:"Revenue",node_label: "Administration and Support", node_color: "rgb(182,161,255)" }) </v>
      </c>
    </row>
    <row r="25" spans="1:5">
      <c r="A25" t="s">
        <v>130</v>
      </c>
      <c r="B25" t="s">
        <v>169</v>
      </c>
      <c r="C25" s="14"/>
      <c r="D25" s="1" t="str">
        <f t="shared" si="0"/>
        <v>25,0,253</v>
      </c>
      <c r="E25" t="str">
        <f t="shared" si="1"/>
        <v xml:space="preserve">node_color_list[i].push({node_department:"Revenue",node_label: "Mental Health Trust Authority", node_color: "rgb(25,0,253)" }) </v>
      </c>
    </row>
    <row r="26" spans="1:5">
      <c r="A26" t="s">
        <v>130</v>
      </c>
      <c r="B26" t="s">
        <v>170</v>
      </c>
      <c r="C26" s="15"/>
      <c r="D26" s="1" t="str">
        <f t="shared" si="0"/>
        <v>0,242,42</v>
      </c>
      <c r="E26" t="str">
        <f t="shared" si="1"/>
        <v xml:space="preserve">node_color_list[i].push({node_department:"Revenue",node_label: "AK Municipal Bond Bank Auth", node_color: "rgb(0,242,42)" }) </v>
      </c>
    </row>
    <row r="27" spans="1:5">
      <c r="A27" t="s">
        <v>130</v>
      </c>
      <c r="B27" t="s">
        <v>171</v>
      </c>
      <c r="C27" s="16"/>
      <c r="D27" s="1" t="str">
        <f t="shared" si="0"/>
        <v>0,127,212</v>
      </c>
      <c r="E27" t="str">
        <f t="shared" si="1"/>
        <v xml:space="preserve">node_color_list[i].push({node_department:"Revenue",node_label: "Alaska Housing Finance Corp", node_color: "rgb(0,127,212)" }) </v>
      </c>
    </row>
    <row r="28" spans="1:5">
      <c r="A28" t="s">
        <v>130</v>
      </c>
      <c r="B28" t="s">
        <v>172</v>
      </c>
      <c r="C28" s="17"/>
      <c r="D28" s="1" t="str">
        <f t="shared" si="0"/>
        <v>109,177,2</v>
      </c>
      <c r="E28" t="str">
        <f t="shared" si="1"/>
        <v xml:space="preserve">node_color_list[i].push({node_department:"Revenue",node_label: "AK Permanent Fund Corporation", node_color: "rgb(109,177,2)" }) </v>
      </c>
    </row>
    <row r="29" spans="1:5">
      <c r="A29" t="s">
        <v>131</v>
      </c>
      <c r="B29" t="s">
        <v>173</v>
      </c>
      <c r="C29" s="11"/>
      <c r="D29" s="1" t="str">
        <f t="shared" si="0"/>
        <v>182,161,255</v>
      </c>
      <c r="E29" t="str">
        <f t="shared" si="1"/>
        <v xml:space="preserve">node_color_list[i].push({node_department:"Educ &amp; Early Devel",node_label: "K-12 Aid to School Districts", node_color: "rgb(182,161,255)" }) </v>
      </c>
    </row>
    <row r="30" spans="1:5">
      <c r="A30" t="s">
        <v>131</v>
      </c>
      <c r="B30" t="s">
        <v>174</v>
      </c>
      <c r="C30" s="12"/>
      <c r="D30" s="1" t="str">
        <f t="shared" si="0"/>
        <v>255,255,5</v>
      </c>
      <c r="E30" t="str">
        <f t="shared" si="1"/>
        <v xml:space="preserve">node_color_list[i].push({node_department:"Educ &amp; Early Devel",node_label: "K-12 Support", node_color: "rgb(255,255,5)" }) </v>
      </c>
    </row>
    <row r="31" spans="1:5">
      <c r="A31" t="s">
        <v>131</v>
      </c>
      <c r="B31" t="s">
        <v>175</v>
      </c>
      <c r="C31" s="13"/>
      <c r="D31" s="1" t="str">
        <f t="shared" si="0"/>
        <v>255,96,6</v>
      </c>
      <c r="E31" t="str">
        <f t="shared" si="1"/>
        <v xml:space="preserve">node_color_list[i].push({node_department:"Educ &amp; Early Devel",node_label: "Education Support and Adm Svcs", node_color: "rgb(255,96,6)" }) </v>
      </c>
    </row>
    <row r="32" spans="1:5">
      <c r="A32" t="s">
        <v>131</v>
      </c>
      <c r="B32" t="s">
        <v>176</v>
      </c>
      <c r="C32" s="14"/>
      <c r="D32" s="1" t="str">
        <f t="shared" si="0"/>
        <v>25,0,253</v>
      </c>
      <c r="E32" t="str">
        <f t="shared" si="1"/>
        <v xml:space="preserve">node_color_list[i].push({node_department:"Educ &amp; Early Devel",node_label: "Alaska Council on the Arts", node_color: "rgb(25,0,253)" }) </v>
      </c>
    </row>
    <row r="33" spans="1:5">
      <c r="A33" t="s">
        <v>131</v>
      </c>
      <c r="B33" t="s">
        <v>177</v>
      </c>
      <c r="C33" s="15"/>
      <c r="D33" s="1" t="str">
        <f t="shared" si="0"/>
        <v>0,242,42</v>
      </c>
      <c r="E33" t="str">
        <f t="shared" si="1"/>
        <v xml:space="preserve">node_color_list[i].push({node_department:"Educ &amp; Early Devel",node_label: "Commissions and Boards", node_color: "rgb(0,242,42)" }) </v>
      </c>
    </row>
    <row r="34" spans="1:5">
      <c r="A34" t="s">
        <v>131</v>
      </c>
      <c r="B34" t="s">
        <v>178</v>
      </c>
      <c r="C34" s="16"/>
      <c r="D34" s="1" t="str">
        <f t="shared" si="0"/>
        <v>0,127,212</v>
      </c>
      <c r="E34" t="str">
        <f t="shared" si="1"/>
        <v xml:space="preserve">node_color_list[i].push({node_department:"Educ &amp; Early Devel",node_label: "Mt. Edgecumbe Boarding School", node_color: "rgb(0,127,212)" }) </v>
      </c>
    </row>
    <row r="35" spans="1:5">
      <c r="A35" t="s">
        <v>131</v>
      </c>
      <c r="B35" t="s">
        <v>179</v>
      </c>
      <c r="C35" s="17"/>
      <c r="D35" s="1" t="str">
        <f t="shared" si="0"/>
        <v>109,177,2</v>
      </c>
      <c r="E35" t="str">
        <f t="shared" si="1"/>
        <v xml:space="preserve">node_color_list[i].push({node_department:"Educ &amp; Early Devel",node_label: "State Facilities Maintenance", node_color: "rgb(109,177,2)" }) </v>
      </c>
    </row>
    <row r="36" spans="1:5">
      <c r="A36" t="s">
        <v>131</v>
      </c>
      <c r="B36" t="s">
        <v>180</v>
      </c>
      <c r="C36" s="18"/>
      <c r="D36" s="1" t="str">
        <f t="shared" si="0"/>
        <v>145,62,225</v>
      </c>
      <c r="E36" t="str">
        <f t="shared" si="1"/>
        <v xml:space="preserve">node_color_list[i].push({node_department:"Educ &amp; Early Devel",node_label: "AK LAM", node_color: "rgb(145,62,225)" }) </v>
      </c>
    </row>
    <row r="37" spans="1:5">
      <c r="A37" t="s">
        <v>131</v>
      </c>
      <c r="B37" t="s">
        <v>181</v>
      </c>
      <c r="C37" s="19"/>
      <c r="D37" s="1" t="str">
        <f t="shared" si="0"/>
        <v>71,16,162</v>
      </c>
      <c r="E37" t="str">
        <f t="shared" si="1"/>
        <v xml:space="preserve">node_color_list[i].push({node_department:"Educ &amp; Early Devel",node_label: "Alaska Postsecondary Education", node_color: "rgb(71,16,162)" }) </v>
      </c>
    </row>
    <row r="38" spans="1:5">
      <c r="A38" t="s">
        <v>131</v>
      </c>
      <c r="B38" t="s">
        <v>182</v>
      </c>
      <c r="C38" s="20"/>
      <c r="D38" s="1" t="str">
        <f t="shared" si="0"/>
        <v>255,102,204</v>
      </c>
      <c r="E38" t="str">
        <f t="shared" si="1"/>
        <v xml:space="preserve">node_color_list[i].push({node_department:"Educ &amp; Early Devel",node_label: "AK Performance Scholarship Awd", node_color: "rgb(255,102,204)" }) </v>
      </c>
    </row>
    <row r="39" spans="1:5">
      <c r="A39" t="s">
        <v>131</v>
      </c>
      <c r="B39" t="s">
        <v>183</v>
      </c>
      <c r="C39" s="21"/>
      <c r="D39" s="1" t="str">
        <f t="shared" si="0"/>
        <v>102,255,204</v>
      </c>
      <c r="E39" t="str">
        <f t="shared" si="1"/>
        <v xml:space="preserve">node_color_list[i].push({node_department:"Educ &amp; Early Devel",node_label: "Alaska Student Loan Corporation", node_color: "rgb(102,255,204)" }) </v>
      </c>
    </row>
    <row r="40" spans="1:5">
      <c r="A40" t="s">
        <v>292</v>
      </c>
      <c r="B40" t="s">
        <v>184</v>
      </c>
      <c r="C40" s="11"/>
      <c r="D40" s="1" t="str">
        <f t="shared" si="0"/>
        <v>182,161,255</v>
      </c>
      <c r="E40" t="str">
        <f t="shared" si="1"/>
        <v xml:space="preserve">node_color_list[i].push({node_department:"Health &amp; Social Services",node_label: "Alaska Pioneer Homes", node_color: "rgb(182,161,255)" }) </v>
      </c>
    </row>
    <row r="41" spans="1:5">
      <c r="A41" t="s">
        <v>292</v>
      </c>
      <c r="B41" t="s">
        <v>185</v>
      </c>
      <c r="C41" s="12"/>
      <c r="D41" s="1" t="str">
        <f t="shared" si="0"/>
        <v>255,255,5</v>
      </c>
      <c r="E41" t="str">
        <f t="shared" si="1"/>
        <v xml:space="preserve">node_color_list[i].push({node_department:"Health &amp; Social Services",node_label: "AK Psychiatric Institute", node_color: "rgb(255,255,5)" }) </v>
      </c>
    </row>
    <row r="42" spans="1:5">
      <c r="A42" t="s">
        <v>292</v>
      </c>
      <c r="B42" t="s">
        <v>186</v>
      </c>
      <c r="C42" s="13"/>
      <c r="D42" s="1" t="str">
        <f t="shared" si="0"/>
        <v>255,96,6</v>
      </c>
      <c r="E42" t="str">
        <f t="shared" si="1"/>
        <v xml:space="preserve">node_color_list[i].push({node_department:"Health &amp; Social Services",node_label: "Behavioral Health", node_color: "rgb(255,96,6)" }) </v>
      </c>
    </row>
    <row r="43" spans="1:5">
      <c r="A43" t="s">
        <v>292</v>
      </c>
      <c r="B43" t="s">
        <v>187</v>
      </c>
      <c r="C43" s="14"/>
      <c r="D43" s="1" t="str">
        <f t="shared" si="0"/>
        <v>25,0,253</v>
      </c>
      <c r="E43" t="str">
        <f t="shared" si="1"/>
        <v xml:space="preserve">node_color_list[i].push({node_department:"Health &amp; Social Services",node_label: "Children's Services", node_color: "rgb(25,0,253)" }) </v>
      </c>
    </row>
    <row r="44" spans="1:5">
      <c r="A44" t="s">
        <v>292</v>
      </c>
      <c r="B44" t="s">
        <v>189</v>
      </c>
      <c r="C44" s="15"/>
      <c r="D44" s="1" t="str">
        <f t="shared" si="0"/>
        <v>0,242,42</v>
      </c>
      <c r="E44" t="str">
        <f t="shared" si="1"/>
        <v xml:space="preserve">node_color_list[i].push({node_department:"Health &amp; Social Services",node_label: "Juvenile Justice", node_color: "rgb(0,242,42)" }) </v>
      </c>
    </row>
    <row r="45" spans="1:5">
      <c r="A45" t="s">
        <v>292</v>
      </c>
      <c r="B45" t="s">
        <v>188</v>
      </c>
      <c r="C45" s="16"/>
      <c r="D45" s="1" t="str">
        <f t="shared" si="0"/>
        <v>0,127,212</v>
      </c>
      <c r="E45" t="str">
        <f t="shared" si="1"/>
        <v xml:space="preserve">node_color_list[i].push({node_department:"Health &amp; Social Services",node_label: "Health Care Services", node_color: "rgb(0,127,212)" }) </v>
      </c>
    </row>
    <row r="46" spans="1:5">
      <c r="A46" t="s">
        <v>292</v>
      </c>
      <c r="B46" t="s">
        <v>190</v>
      </c>
      <c r="C46" s="17"/>
      <c r="D46" s="1" t="str">
        <f t="shared" si="0"/>
        <v>109,177,2</v>
      </c>
      <c r="E46" t="str">
        <f t="shared" si="1"/>
        <v xml:space="preserve">node_color_list[i].push({node_department:"Health &amp; Social Services",node_label: "Public Assistance", node_color: "rgb(109,177,2)" }) </v>
      </c>
    </row>
    <row r="47" spans="1:5">
      <c r="A47" t="s">
        <v>292</v>
      </c>
      <c r="B47" t="s">
        <v>191</v>
      </c>
      <c r="C47" s="18"/>
      <c r="D47" s="1" t="str">
        <f t="shared" si="0"/>
        <v>145,62,225</v>
      </c>
      <c r="E47" t="str">
        <f t="shared" si="1"/>
        <v xml:space="preserve">node_color_list[i].push({node_department:"Health &amp; Social Services",node_label: "Senior Benefits Payment Program", node_color: "rgb(145,62,225)" }) </v>
      </c>
    </row>
    <row r="48" spans="1:5">
      <c r="A48" t="s">
        <v>292</v>
      </c>
      <c r="B48" t="s">
        <v>192</v>
      </c>
      <c r="C48" s="19"/>
      <c r="D48" s="1" t="str">
        <f t="shared" si="0"/>
        <v>71,16,162</v>
      </c>
      <c r="E48" t="str">
        <f t="shared" si="1"/>
        <v xml:space="preserve">node_color_list[i].push({node_department:"Health &amp; Social Services",node_label: "Public Health", node_color: "rgb(71,16,162)" }) </v>
      </c>
    </row>
    <row r="49" spans="1:5">
      <c r="A49" t="s">
        <v>292</v>
      </c>
      <c r="B49" t="s">
        <v>193</v>
      </c>
      <c r="C49" s="20"/>
      <c r="D49" s="1" t="str">
        <f t="shared" si="0"/>
        <v>255,102,204</v>
      </c>
      <c r="E49" t="str">
        <f t="shared" si="1"/>
        <v xml:space="preserve">node_color_list[i].push({node_department:"Health &amp; Social Services",node_label: "Senior and Disabilities Svcs", node_color: "rgb(255,102,204)" }) </v>
      </c>
    </row>
    <row r="50" spans="1:5">
      <c r="A50" t="s">
        <v>292</v>
      </c>
      <c r="B50" t="s">
        <v>194</v>
      </c>
      <c r="C50" s="21"/>
      <c r="D50" s="1" t="str">
        <f t="shared" si="0"/>
        <v>102,255,204</v>
      </c>
      <c r="E50" t="str">
        <f t="shared" si="1"/>
        <v xml:space="preserve">node_color_list[i].push({node_department:"Health &amp; Social Services",node_label: "Departmental Support Services", node_color: "rgb(102,255,204)" }) </v>
      </c>
    </row>
    <row r="51" spans="1:5">
      <c r="A51" t="s">
        <v>292</v>
      </c>
      <c r="B51" t="s">
        <v>195</v>
      </c>
      <c r="C51" s="22"/>
      <c r="D51" s="1" t="str">
        <f t="shared" si="0"/>
        <v>0,176,240</v>
      </c>
      <c r="E51" t="str">
        <f t="shared" si="1"/>
        <v xml:space="preserve">node_color_list[i].push({node_department:"Health &amp; Social Services",node_label: "Human Svcs Comm Matching Grant", node_color: "rgb(0,176,240)" }) </v>
      </c>
    </row>
    <row r="52" spans="1:5">
      <c r="A52" t="s">
        <v>292</v>
      </c>
      <c r="B52" t="s">
        <v>196</v>
      </c>
      <c r="C52" s="23"/>
      <c r="D52" s="1" t="str">
        <f t="shared" si="0"/>
        <v>204,153,0</v>
      </c>
      <c r="E52" t="str">
        <f t="shared" si="1"/>
        <v xml:space="preserve">node_color_list[i].push({node_department:"Health &amp; Social Services",node_label: "Community Initiative Grants", node_color: "rgb(204,153,0)" }) </v>
      </c>
    </row>
    <row r="53" spans="1:5">
      <c r="A53" t="s">
        <v>292</v>
      </c>
      <c r="B53" t="s">
        <v>197</v>
      </c>
      <c r="C53" s="24"/>
      <c r="D53" s="1" t="str">
        <f t="shared" si="0"/>
        <v>192,0,0</v>
      </c>
      <c r="E53" t="str">
        <f t="shared" si="1"/>
        <v xml:space="preserve">node_color_list[i].push({node_department:"Health &amp; Social Services",node_label: "Medicaid Svs", node_color: "rgb(192,0,0)" }) </v>
      </c>
    </row>
    <row r="54" spans="1:5">
      <c r="A54" t="s">
        <v>132</v>
      </c>
      <c r="B54" t="s">
        <v>198</v>
      </c>
      <c r="C54" s="11"/>
      <c r="D54" s="1" t="str">
        <f t="shared" si="0"/>
        <v>182,161,255</v>
      </c>
      <c r="E54" t="str">
        <f t="shared" si="1"/>
        <v xml:space="preserve">node_color_list[i].push({node_department:"Labor &amp; Workforce",node_label: "Commissioner and Administrative", node_color: "rgb(182,161,255)" }) </v>
      </c>
    </row>
    <row r="55" spans="1:5">
      <c r="A55" t="s">
        <v>132</v>
      </c>
      <c r="B55" t="s">
        <v>199</v>
      </c>
      <c r="C55" s="12"/>
      <c r="D55" s="1" t="str">
        <f t="shared" si="0"/>
        <v>255,255,5</v>
      </c>
      <c r="E55" t="str">
        <f t="shared" si="1"/>
        <v xml:space="preserve">node_color_list[i].push({node_department:"Labor &amp; Workforce",node_label: "Workers' Compensation", node_color: "rgb(255,255,5)" }) </v>
      </c>
    </row>
    <row r="56" spans="1:5">
      <c r="A56" t="s">
        <v>132</v>
      </c>
      <c r="B56" t="s">
        <v>200</v>
      </c>
      <c r="C56" s="13"/>
      <c r="D56" s="1" t="str">
        <f t="shared" si="0"/>
        <v>255,96,6</v>
      </c>
      <c r="E56" t="str">
        <f t="shared" si="1"/>
        <v xml:space="preserve">node_color_list[i].push({node_department:"Labor &amp; Workforce",node_label: "Labor Standards and Safety", node_color: "rgb(255,96,6)" }) </v>
      </c>
    </row>
    <row r="57" spans="1:5">
      <c r="A57" t="s">
        <v>132</v>
      </c>
      <c r="B57" t="s">
        <v>201</v>
      </c>
      <c r="C57" s="14"/>
      <c r="D57" s="1" t="str">
        <f t="shared" si="0"/>
        <v>25,0,253</v>
      </c>
      <c r="E57" t="str">
        <f t="shared" si="1"/>
        <v xml:space="preserve">node_color_list[i].push({node_department:"Labor &amp; Workforce",node_label: "Employment &amp; Training Svcs", node_color: "rgb(25,0,253)" }) </v>
      </c>
    </row>
    <row r="58" spans="1:5">
      <c r="A58" t="s">
        <v>132</v>
      </c>
      <c r="B58" t="s">
        <v>202</v>
      </c>
      <c r="C58" s="15"/>
      <c r="D58" s="1" t="str">
        <f t="shared" si="0"/>
        <v>0,242,42</v>
      </c>
      <c r="E58" t="str">
        <f t="shared" si="1"/>
        <v xml:space="preserve">node_color_list[i].push({node_department:"Labor &amp; Workforce",node_label: "Vocational Rehabilitation", node_color: "rgb(0,242,42)" }) </v>
      </c>
    </row>
    <row r="59" spans="1:5">
      <c r="A59" t="s">
        <v>132</v>
      </c>
      <c r="B59" t="s">
        <v>203</v>
      </c>
      <c r="C59" s="16"/>
      <c r="D59" s="1" t="str">
        <f t="shared" si="0"/>
        <v>0,127,212</v>
      </c>
      <c r="E59" t="str">
        <f t="shared" si="1"/>
        <v xml:space="preserve">node_color_list[i].push({node_department:"Labor &amp; Workforce",node_label: "AVTEC", node_color: "rgb(0,127,212)" }) </v>
      </c>
    </row>
    <row r="60" spans="1:5">
      <c r="A60" t="s">
        <v>133</v>
      </c>
      <c r="B60" t="s">
        <v>204</v>
      </c>
      <c r="C60" s="11"/>
      <c r="D60" s="1" t="str">
        <f t="shared" si="0"/>
        <v>182,161,255</v>
      </c>
      <c r="E60" t="str">
        <f t="shared" si="1"/>
        <v xml:space="preserve">node_color_list[i].push({node_department:"Commerce",node_label: "Executive Admin and Dev", node_color: "rgb(182,161,255)" }) </v>
      </c>
    </row>
    <row r="61" spans="1:5">
      <c r="A61" t="s">
        <v>133</v>
      </c>
      <c r="B61" t="s">
        <v>205</v>
      </c>
      <c r="C61" s="12"/>
      <c r="D61" s="1" t="str">
        <f t="shared" ref="D61:D112" si="2">getRGB2(C61)</f>
        <v>255,255,5</v>
      </c>
      <c r="E61" t="str">
        <f t="shared" si="1"/>
        <v xml:space="preserve">node_color_list[i].push({node_department:"Commerce",node_label: "Banking and Securities", node_color: "rgb(255,255,5)" }) </v>
      </c>
    </row>
    <row r="62" spans="1:5">
      <c r="A62" t="s">
        <v>133</v>
      </c>
      <c r="B62" t="s">
        <v>206</v>
      </c>
      <c r="C62" s="13"/>
      <c r="D62" s="1" t="str">
        <f t="shared" si="2"/>
        <v>255,96,6</v>
      </c>
      <c r="E62" t="str">
        <f t="shared" si="1"/>
        <v xml:space="preserve">node_color_list[i].push({node_department:"Commerce",node_label: "Community and Regional Affairs", node_color: "rgb(255,96,6)" }) </v>
      </c>
    </row>
    <row r="63" spans="1:5">
      <c r="A63" t="s">
        <v>133</v>
      </c>
      <c r="B63" t="s">
        <v>207</v>
      </c>
      <c r="C63" s="14"/>
      <c r="D63" s="1" t="str">
        <f t="shared" si="2"/>
        <v>25,0,253</v>
      </c>
      <c r="E63" t="str">
        <f t="shared" si="1"/>
        <v xml:space="preserve">node_color_list[i].push({node_department:"Commerce",node_label: "Revenue Sharing", node_color: "rgb(25,0,253)" }) </v>
      </c>
    </row>
    <row r="64" spans="1:5">
      <c r="A64" t="s">
        <v>133</v>
      </c>
      <c r="B64" t="s">
        <v>208</v>
      </c>
      <c r="C64" s="15"/>
      <c r="D64" s="1" t="str">
        <f t="shared" si="2"/>
        <v>0,242,42</v>
      </c>
      <c r="E64" t="str">
        <f t="shared" si="1"/>
        <v xml:space="preserve">node_color_list[i].push({node_department:"Commerce",node_label: "Corp, Bus &amp; Prof Licenses", node_color: "rgb(0,242,42)" }) </v>
      </c>
    </row>
    <row r="65" spans="1:5">
      <c r="A65" t="s">
        <v>133</v>
      </c>
      <c r="B65" t="s">
        <v>209</v>
      </c>
      <c r="C65" s="16"/>
      <c r="D65" s="1" t="str">
        <f t="shared" si="2"/>
        <v>0,127,212</v>
      </c>
      <c r="E65" t="str">
        <f t="shared" si="1"/>
        <v xml:space="preserve">node_color_list[i].push({node_department:"Commerce",node_label: "Economic Development", node_color: "rgb(0,127,212)" }) </v>
      </c>
    </row>
    <row r="66" spans="1:5">
      <c r="A66" t="s">
        <v>133</v>
      </c>
      <c r="B66" t="s">
        <v>210</v>
      </c>
      <c r="C66" s="17"/>
      <c r="D66" s="1" t="str">
        <f t="shared" si="2"/>
        <v>109,177,2</v>
      </c>
      <c r="E66" t="str">
        <f t="shared" si="1"/>
        <v xml:space="preserve">node_color_list[i].push({node_department:"Commerce",node_label: "Investments", node_color: "rgb(109,177,2)" }) </v>
      </c>
    </row>
    <row r="67" spans="1:5">
      <c r="A67" t="s">
        <v>133</v>
      </c>
      <c r="B67" t="s">
        <v>211</v>
      </c>
      <c r="C67" s="18"/>
      <c r="D67" s="1" t="str">
        <f t="shared" si="2"/>
        <v>145,62,225</v>
      </c>
      <c r="E67" t="str">
        <f t="shared" si="1"/>
        <v xml:space="preserve">node_color_list[i].push({node_department:"Commerce",node_label: "Insurance", node_color: "rgb(145,62,225)" }) </v>
      </c>
    </row>
    <row r="68" spans="1:5">
      <c r="A68" t="s">
        <v>133</v>
      </c>
      <c r="B68" t="s">
        <v>212</v>
      </c>
      <c r="C68" s="19"/>
      <c r="D68" s="1" t="str">
        <f t="shared" si="2"/>
        <v>71,16,162</v>
      </c>
      <c r="E68" t="str">
        <f t="shared" ref="E68:E131" si="3">CONCATENATE( "node_color_list[i].push({node_department:""",A68,""",node_label: """, B68, """, node_color: ""rgb(",D68,")"" }) ")</f>
        <v xml:space="preserve">node_color_list[i].push({node_department:"Commerce",node_label: "AK Oil &amp; Gas Conservation Comm", node_color: "rgb(71,16,162)" }) </v>
      </c>
    </row>
    <row r="69" spans="1:5">
      <c r="A69" t="s">
        <v>133</v>
      </c>
      <c r="B69" t="s">
        <v>213</v>
      </c>
      <c r="C69" s="20"/>
      <c r="D69" s="1" t="str">
        <f t="shared" si="2"/>
        <v>255,102,204</v>
      </c>
      <c r="E69" t="str">
        <f t="shared" si="3"/>
        <v xml:space="preserve">node_color_list[i].push({node_department:"Commerce",node_label: "Alcohol and Marijuana Control", node_color: "rgb(255,102,204)" }) </v>
      </c>
    </row>
    <row r="70" spans="1:5">
      <c r="A70" t="s">
        <v>133</v>
      </c>
      <c r="B70" t="s">
        <v>214</v>
      </c>
      <c r="C70" s="21"/>
      <c r="D70" s="1" t="str">
        <f t="shared" si="2"/>
        <v>102,255,204</v>
      </c>
      <c r="E70" t="str">
        <f t="shared" si="3"/>
        <v xml:space="preserve">node_color_list[i].push({node_department:"Commerce",node_label: "Ak Gasline Development", node_color: "rgb(102,255,204)" }) </v>
      </c>
    </row>
    <row r="71" spans="1:5">
      <c r="A71" t="s">
        <v>133</v>
      </c>
      <c r="B71" t="s">
        <v>215</v>
      </c>
      <c r="C71" s="22"/>
      <c r="D71" s="1" t="str">
        <f t="shared" si="2"/>
        <v>0,176,240</v>
      </c>
      <c r="E71" t="str">
        <f t="shared" si="3"/>
        <v xml:space="preserve">node_color_list[i].push({node_department:"Commerce",node_label: "Alaska Energy Authority", node_color: "rgb(0,176,240)" }) </v>
      </c>
    </row>
    <row r="72" spans="1:5">
      <c r="A72" t="s">
        <v>133</v>
      </c>
      <c r="B72" t="s">
        <v>216</v>
      </c>
      <c r="C72" s="23"/>
      <c r="D72" s="1" t="str">
        <f t="shared" si="2"/>
        <v>204,153,0</v>
      </c>
      <c r="E72" t="str">
        <f t="shared" si="3"/>
        <v xml:space="preserve">node_color_list[i].push({node_department:"Commerce",node_label: "AIDEA", node_color: "rgb(204,153,0)" }) </v>
      </c>
    </row>
    <row r="73" spans="1:5">
      <c r="A73" t="s">
        <v>133</v>
      </c>
      <c r="B73" t="s">
        <v>217</v>
      </c>
      <c r="C73" s="24"/>
      <c r="D73" s="1" t="str">
        <f t="shared" si="2"/>
        <v>192,0,0</v>
      </c>
      <c r="E73" t="str">
        <f t="shared" si="3"/>
        <v xml:space="preserve">node_color_list[i].push({node_department:"Commerce",node_label: "Alaska Seafood Marketing Inst", node_color: "rgb(192,0,0)" }) </v>
      </c>
    </row>
    <row r="74" spans="1:5">
      <c r="A74" t="s">
        <v>133</v>
      </c>
      <c r="B74" t="s">
        <v>218</v>
      </c>
      <c r="C74" s="25"/>
      <c r="D74" s="1" t="str">
        <f t="shared" si="2"/>
        <v>0,176,80</v>
      </c>
      <c r="E74" t="str">
        <f t="shared" si="3"/>
        <v xml:space="preserve">node_color_list[i].push({node_department:"Commerce",node_label: "Reg Comm of Ak", node_color: "rgb(0,176,80)" }) </v>
      </c>
    </row>
    <row r="75" spans="1:5">
      <c r="A75" t="s">
        <v>133</v>
      </c>
      <c r="B75" t="s">
        <v>219</v>
      </c>
      <c r="C75" s="26"/>
      <c r="D75" s="1" t="str">
        <f t="shared" si="2"/>
        <v>255,204,102</v>
      </c>
      <c r="E75" t="str">
        <f t="shared" si="3"/>
        <v xml:space="preserve">node_color_list[i].push({node_department:"Commerce",node_label: "DCCED State Facilities Rent", node_color: "rgb(255,204,102)" }) </v>
      </c>
    </row>
    <row r="76" spans="1:5">
      <c r="A76" t="s">
        <v>134</v>
      </c>
      <c r="B76" t="s">
        <v>134</v>
      </c>
      <c r="C76" s="11"/>
      <c r="D76" s="1" t="str">
        <f t="shared" si="2"/>
        <v>182,161,255</v>
      </c>
      <c r="E76" t="str">
        <f t="shared" si="3"/>
        <v xml:space="preserve">node_color_list[i].push({node_department:"Military &amp; Veterans Affairs",node_label: "Military &amp; Veterans Affairs", node_color: "rgb(182,161,255)" }) </v>
      </c>
    </row>
    <row r="77" spans="1:5">
      <c r="A77" t="s">
        <v>134</v>
      </c>
      <c r="B77" t="s">
        <v>220</v>
      </c>
      <c r="C77" s="12"/>
      <c r="D77" s="1" t="str">
        <f t="shared" si="2"/>
        <v>255,255,5</v>
      </c>
      <c r="E77" t="str">
        <f t="shared" si="3"/>
        <v xml:space="preserve">node_color_list[i].push({node_department:"Military &amp; Veterans Affairs",node_label: "Alaska Aerospace Corp", node_color: "rgb(255,255,5)" }) </v>
      </c>
    </row>
    <row r="78" spans="1:5">
      <c r="A78" t="s">
        <v>135</v>
      </c>
      <c r="B78" t="s">
        <v>166</v>
      </c>
      <c r="C78" s="11"/>
      <c r="D78" s="1" t="str">
        <f t="shared" si="2"/>
        <v>182,161,255</v>
      </c>
      <c r="E78" t="str">
        <f t="shared" si="3"/>
        <v xml:space="preserve">node_color_list[i].push({node_department:"Natural Resources",node_label: "Administration and Support", node_color: "rgb(182,161,255)" }) </v>
      </c>
    </row>
    <row r="79" spans="1:5">
      <c r="A79" t="s">
        <v>135</v>
      </c>
      <c r="B79" t="s">
        <v>221</v>
      </c>
      <c r="C79" s="12"/>
      <c r="D79" s="1" t="str">
        <f t="shared" si="2"/>
        <v>255,255,5</v>
      </c>
      <c r="E79" t="str">
        <f t="shared" si="3"/>
        <v xml:space="preserve">node_color_list[i].push({node_department:"Natural Resources",node_label: "Oil and Gas", node_color: "rgb(255,255,5)" }) </v>
      </c>
    </row>
    <row r="80" spans="1:5">
      <c r="A80" t="s">
        <v>135</v>
      </c>
      <c r="B80" t="s">
        <v>222</v>
      </c>
      <c r="C80" s="13"/>
      <c r="D80" s="1" t="str">
        <f t="shared" si="2"/>
        <v>255,96,6</v>
      </c>
      <c r="E80" t="str">
        <f t="shared" si="3"/>
        <v xml:space="preserve">node_color_list[i].push({node_department:"Natural Resources",node_label: "Fire Land and Water Resources", node_color: "rgb(255,96,6)" }) </v>
      </c>
    </row>
    <row r="81" spans="1:5">
      <c r="A81" t="s">
        <v>135</v>
      </c>
      <c r="B81" t="s">
        <v>224</v>
      </c>
      <c r="C81" s="14"/>
      <c r="D81" s="1" t="str">
        <f t="shared" si="2"/>
        <v>25,0,253</v>
      </c>
      <c r="E81" t="str">
        <f t="shared" si="3"/>
        <v xml:space="preserve">node_color_list[i].push({node_department:"Natural Resources",node_label: "Parks and Outdoor Recreation", node_color: "rgb(25,0,253)" }) </v>
      </c>
    </row>
    <row r="82" spans="1:5">
      <c r="A82" t="s">
        <v>135</v>
      </c>
      <c r="B82" t="s">
        <v>223</v>
      </c>
      <c r="C82" s="15"/>
      <c r="D82" s="1" t="str">
        <f t="shared" si="2"/>
        <v>0,242,42</v>
      </c>
      <c r="E82" t="str">
        <f t="shared" si="3"/>
        <v xml:space="preserve">node_color_list[i].push({node_department:"Natural Resources",node_label: "Agriculture", node_color: "rgb(0,242,42)" }) </v>
      </c>
    </row>
    <row r="83" spans="1:5">
      <c r="A83" t="s">
        <v>290</v>
      </c>
      <c r="B83" t="s">
        <v>225</v>
      </c>
      <c r="C83" s="11"/>
      <c r="D83" s="1" t="str">
        <f t="shared" si="2"/>
        <v>182,161,255</v>
      </c>
      <c r="E83" t="str">
        <f t="shared" si="3"/>
        <v xml:space="preserve">node_color_list[i].push({node_department:"Fish &amp; Game",node_label: "Commercial Fisheries", node_color: "rgb(182,161,255)" }) </v>
      </c>
    </row>
    <row r="84" spans="1:5">
      <c r="A84" t="s">
        <v>290</v>
      </c>
      <c r="B84" t="s">
        <v>226</v>
      </c>
      <c r="C84" s="12"/>
      <c r="D84" s="1" t="str">
        <f t="shared" si="2"/>
        <v>255,255,5</v>
      </c>
      <c r="E84" t="str">
        <f t="shared" si="3"/>
        <v xml:space="preserve">node_color_list[i].push({node_department:"Fish &amp; Game",node_label: "Sport Fisheries", node_color: "rgb(255,255,5)" }) </v>
      </c>
    </row>
    <row r="85" spans="1:5">
      <c r="A85" t="s">
        <v>290</v>
      </c>
      <c r="B85" t="s">
        <v>227</v>
      </c>
      <c r="C85" s="13"/>
      <c r="D85" s="1" t="str">
        <f t="shared" si="2"/>
        <v>255,96,6</v>
      </c>
      <c r="E85" t="str">
        <f t="shared" si="3"/>
        <v xml:space="preserve">node_color_list[i].push({node_department:"Fish &amp; Game",node_label: "Wildlife Conservation", node_color: "rgb(255,96,6)" }) </v>
      </c>
    </row>
    <row r="86" spans="1:5">
      <c r="A86" t="s">
        <v>290</v>
      </c>
      <c r="B86" t="s">
        <v>228</v>
      </c>
      <c r="C86" s="14"/>
      <c r="D86" s="1" t="str">
        <f t="shared" si="2"/>
        <v>25,0,253</v>
      </c>
      <c r="E86" t="str">
        <f t="shared" si="3"/>
        <v xml:space="preserve">node_color_list[i].push({node_department:"Fish &amp; Game",node_label: "Statewide Support Services", node_color: "rgb(25,0,253)" }) </v>
      </c>
    </row>
    <row r="87" spans="1:5">
      <c r="A87" t="s">
        <v>290</v>
      </c>
      <c r="B87" t="s">
        <v>229</v>
      </c>
      <c r="C87" s="15"/>
      <c r="D87" s="1" t="str">
        <f t="shared" si="2"/>
        <v>0,242,42</v>
      </c>
      <c r="E87" t="str">
        <f t="shared" si="3"/>
        <v xml:space="preserve">node_color_list[i].push({node_department:"Fish &amp; Game",node_label: "Habitat", node_color: "rgb(0,242,42)" }) </v>
      </c>
    </row>
    <row r="88" spans="1:5">
      <c r="A88" t="s">
        <v>290</v>
      </c>
      <c r="B88" t="s">
        <v>230</v>
      </c>
      <c r="C88" s="16"/>
      <c r="D88" s="1" t="str">
        <f t="shared" si="2"/>
        <v>0,127,212</v>
      </c>
      <c r="E88" t="str">
        <f t="shared" si="3"/>
        <v xml:space="preserve">node_color_list[i].push({node_department:"Fish &amp; Game",node_label: "Subsistence Research &amp; Monitori", node_color: "rgb(0,127,212)" }) </v>
      </c>
    </row>
    <row r="89" spans="1:5">
      <c r="A89" t="s">
        <v>136</v>
      </c>
      <c r="B89" t="s">
        <v>231</v>
      </c>
      <c r="C89" s="11"/>
      <c r="D89" s="1" t="str">
        <f t="shared" si="2"/>
        <v>182,161,255</v>
      </c>
      <c r="E89" t="str">
        <f t="shared" si="3"/>
        <v xml:space="preserve">node_color_list[i].push({node_department:"Public Safety",node_label: "Fire and Life Safety", node_color: "rgb(182,161,255)" }) </v>
      </c>
    </row>
    <row r="90" spans="1:5">
      <c r="A90" t="s">
        <v>136</v>
      </c>
      <c r="B90" t="s">
        <v>232</v>
      </c>
      <c r="C90" s="12"/>
      <c r="D90" s="1" t="str">
        <f t="shared" si="2"/>
        <v>255,255,5</v>
      </c>
      <c r="E90" t="str">
        <f t="shared" si="3"/>
        <v xml:space="preserve">node_color_list[i].push({node_department:"Public Safety",node_label: "Alaska State Troopers", node_color: "rgb(255,255,5)" }) </v>
      </c>
    </row>
    <row r="91" spans="1:5">
      <c r="A91" t="s">
        <v>136</v>
      </c>
      <c r="B91" t="s">
        <v>233</v>
      </c>
      <c r="C91" s="13"/>
      <c r="D91" s="1" t="str">
        <f t="shared" si="2"/>
        <v>255,96,6</v>
      </c>
      <c r="E91" t="str">
        <f t="shared" si="3"/>
        <v xml:space="preserve">node_color_list[i].push({node_department:"Public Safety",node_label: "Village Public Safety Officers", node_color: "rgb(255,96,6)" }) </v>
      </c>
    </row>
    <row r="92" spans="1:5">
      <c r="A92" t="s">
        <v>136</v>
      </c>
      <c r="B92" t="s">
        <v>234</v>
      </c>
      <c r="C92" s="14"/>
      <c r="D92" s="1" t="str">
        <f t="shared" si="2"/>
        <v>25,0,253</v>
      </c>
      <c r="E92" t="str">
        <f t="shared" si="3"/>
        <v xml:space="preserve">node_color_list[i].push({node_department:"Public Safety",node_label: "AK Police Standards Council", node_color: "rgb(25,0,253)" }) </v>
      </c>
    </row>
    <row r="93" spans="1:5">
      <c r="A93" t="s">
        <v>136</v>
      </c>
      <c r="B93" t="s">
        <v>235</v>
      </c>
      <c r="C93" s="15"/>
      <c r="D93" s="1" t="str">
        <f t="shared" si="2"/>
        <v>0,242,42</v>
      </c>
      <c r="E93" t="str">
        <f t="shared" si="3"/>
        <v xml:space="preserve">node_color_list[i].push({node_department:"Public Safety",node_label: "Domestic Viol/Sexual Assault", node_color: "rgb(0,242,42)" }) </v>
      </c>
    </row>
    <row r="94" spans="1:5">
      <c r="A94" t="s">
        <v>136</v>
      </c>
      <c r="B94" t="s">
        <v>276</v>
      </c>
      <c r="C94" s="16"/>
      <c r="D94" s="1" t="str">
        <f t="shared" si="2"/>
        <v>0,127,212</v>
      </c>
      <c r="E94" t="str">
        <f t="shared" si="3"/>
        <v xml:space="preserve">node_color_list[i].push({node_department:"Public Safety",node_label: "Violent Crimes Comp Board", node_color: "rgb(0,127,212)" }) </v>
      </c>
    </row>
    <row r="95" spans="1:5">
      <c r="A95" t="s">
        <v>136</v>
      </c>
      <c r="B95" t="s">
        <v>236</v>
      </c>
      <c r="C95" s="17"/>
      <c r="D95" s="1" t="str">
        <f t="shared" si="2"/>
        <v>109,177,2</v>
      </c>
      <c r="E95" t="str">
        <f t="shared" si="3"/>
        <v xml:space="preserve">node_color_list[i].push({node_department:"Public Safety",node_label: "Statewide Support", node_color: "rgb(109,177,2)" }) </v>
      </c>
    </row>
    <row r="96" spans="1:5">
      <c r="A96" t="s">
        <v>137</v>
      </c>
      <c r="B96" t="s">
        <v>128</v>
      </c>
      <c r="C96" s="11"/>
      <c r="D96" s="1" t="str">
        <f t="shared" si="2"/>
        <v>182,161,255</v>
      </c>
      <c r="E96" t="str">
        <f t="shared" si="3"/>
        <v xml:space="preserve">node_color_list[i].push({node_department:"Environ Conservation",node_label: "Administration", node_color: "rgb(182,161,255)" }) </v>
      </c>
    </row>
    <row r="97" spans="1:6">
      <c r="A97" t="s">
        <v>137</v>
      </c>
      <c r="B97" t="s">
        <v>237</v>
      </c>
      <c r="C97" s="12"/>
      <c r="D97" s="1" t="str">
        <f t="shared" si="2"/>
        <v>255,255,5</v>
      </c>
      <c r="E97" t="str">
        <f t="shared" si="3"/>
        <v xml:space="preserve">node_color_list[i].push({node_department:"Environ Conservation",node_label: "DEC Bldgs Maint &amp; Operations", node_color: "rgb(255,255,5)" }) </v>
      </c>
    </row>
    <row r="98" spans="1:6">
      <c r="A98" t="s">
        <v>137</v>
      </c>
      <c r="B98" t="s">
        <v>238</v>
      </c>
      <c r="C98" s="13"/>
      <c r="D98" s="1" t="str">
        <f t="shared" si="2"/>
        <v>255,96,6</v>
      </c>
      <c r="E98" t="str">
        <f t="shared" si="3"/>
        <v xml:space="preserve">node_color_list[i].push({node_department:"Environ Conservation",node_label: "Environmental Health", node_color: "rgb(255,96,6)" }) </v>
      </c>
    </row>
    <row r="99" spans="1:6">
      <c r="A99" t="s">
        <v>137</v>
      </c>
      <c r="B99" t="s">
        <v>239</v>
      </c>
      <c r="C99" s="14"/>
      <c r="D99" s="1" t="str">
        <f t="shared" si="2"/>
        <v>25,0,253</v>
      </c>
      <c r="E99" t="str">
        <f t="shared" si="3"/>
        <v xml:space="preserve">node_color_list[i].push({node_department:"Environ Conservation",node_label: "Air Quality", node_color: "rgb(25,0,253)" }) </v>
      </c>
    </row>
    <row r="100" spans="1:6">
      <c r="A100" t="s">
        <v>137</v>
      </c>
      <c r="B100" t="s">
        <v>240</v>
      </c>
      <c r="C100" s="15"/>
      <c r="D100" s="1" t="str">
        <f t="shared" si="2"/>
        <v>0,242,42</v>
      </c>
      <c r="E100" t="str">
        <f t="shared" si="3"/>
        <v xml:space="preserve">node_color_list[i].push({node_department:"Environ Conservation",node_label: "Spill Prevention and Response", node_color: "rgb(0,242,42)" }) </v>
      </c>
    </row>
    <row r="101" spans="1:6">
      <c r="A101" t="s">
        <v>137</v>
      </c>
      <c r="B101" t="s">
        <v>241</v>
      </c>
      <c r="C101" s="16"/>
      <c r="D101" s="1" t="str">
        <f t="shared" si="2"/>
        <v>0,127,212</v>
      </c>
      <c r="E101" t="str">
        <f t="shared" si="3"/>
        <v xml:space="preserve">node_color_list[i].push({node_department:"Environ Conservation",node_label: "Water", node_color: "rgb(0,127,212)" }) </v>
      </c>
    </row>
    <row r="102" spans="1:6">
      <c r="A102" t="s">
        <v>138</v>
      </c>
      <c r="B102" t="s">
        <v>242</v>
      </c>
      <c r="C102" s="12"/>
      <c r="D102" s="1" t="str">
        <f t="shared" si="2"/>
        <v>255,255,5</v>
      </c>
      <c r="E102" t="str">
        <f t="shared" si="3"/>
        <v xml:space="preserve">node_color_list[i].push({node_department:"Corrections",node_label: "Facility-Cap Improvement Unit", node_color: "rgb(255,255,5)" }) </v>
      </c>
    </row>
    <row r="103" spans="1:6">
      <c r="A103" t="s">
        <v>138</v>
      </c>
      <c r="B103" t="s">
        <v>166</v>
      </c>
      <c r="C103" s="11"/>
      <c r="D103" s="1" t="str">
        <f t="shared" si="2"/>
        <v>182,161,255</v>
      </c>
      <c r="E103" t="str">
        <f t="shared" si="3"/>
        <v xml:space="preserve">node_color_list[i].push({node_department:"Corrections",node_label: "Administration and Support", node_color: "rgb(182,161,255)" }) </v>
      </c>
    </row>
    <row r="104" spans="1:6">
      <c r="A104" t="s">
        <v>138</v>
      </c>
      <c r="B104" t="s">
        <v>243</v>
      </c>
      <c r="C104" s="13"/>
      <c r="D104" s="1" t="str">
        <f t="shared" si="2"/>
        <v>255,96,6</v>
      </c>
      <c r="E104" t="str">
        <f t="shared" si="3"/>
        <v xml:space="preserve">node_color_list[i].push({node_department:"Corrections",node_label: "Population Management", node_color: "rgb(255,96,6)" }) </v>
      </c>
    </row>
    <row r="105" spans="1:6">
      <c r="A105" t="s">
        <v>138</v>
      </c>
      <c r="B105" t="s">
        <v>244</v>
      </c>
      <c r="C105" s="14"/>
      <c r="D105" s="1" t="str">
        <f t="shared" si="2"/>
        <v>25,0,253</v>
      </c>
      <c r="E105" t="str">
        <f t="shared" si="3"/>
        <v xml:space="preserve">node_color_list[i].push({node_department:"Corrections",node_label: "Health and Rehab Services", node_color: "rgb(25,0,253)" }) </v>
      </c>
    </row>
    <row r="106" spans="1:6">
      <c r="A106" t="s">
        <v>138</v>
      </c>
      <c r="B106" t="s">
        <v>245</v>
      </c>
      <c r="C106" s="15"/>
      <c r="D106" s="1" t="str">
        <f t="shared" si="2"/>
        <v>0,242,42</v>
      </c>
      <c r="E106" t="str">
        <f t="shared" si="3"/>
        <v xml:space="preserve">node_color_list[i].push({node_department:"Corrections",node_label: "Offender Habilitation", node_color: "rgb(0,242,42)" }) </v>
      </c>
    </row>
    <row r="107" spans="1:6">
      <c r="A107" t="s">
        <v>138</v>
      </c>
      <c r="B107" t="s">
        <v>246</v>
      </c>
      <c r="C107" s="16"/>
      <c r="D107" s="1" t="str">
        <f t="shared" si="2"/>
        <v>0,127,212</v>
      </c>
      <c r="E107" t="str">
        <f t="shared" si="3"/>
        <v xml:space="preserve">node_color_list[i].push({node_department:"Corrections",node_label: "Recidivism Reduction Grants", node_color: "rgb(0,127,212)" }) </v>
      </c>
    </row>
    <row r="108" spans="1:6">
      <c r="A108" t="s">
        <v>138</v>
      </c>
      <c r="B108" t="s">
        <v>247</v>
      </c>
      <c r="C108" s="17"/>
      <c r="D108" s="1" t="str">
        <f t="shared" si="2"/>
        <v>109,177,2</v>
      </c>
      <c r="E108" t="str">
        <f t="shared" si="3"/>
        <v xml:space="preserve">node_color_list[i].push({node_department:"Corrections",node_label: "24 Hr Inst Utilities", node_color: "rgb(109,177,2)" }) </v>
      </c>
    </row>
    <row r="109" spans="1:6">
      <c r="A109" t="s">
        <v>138</v>
      </c>
      <c r="B109" t="s">
        <v>286</v>
      </c>
      <c r="C109" s="18"/>
      <c r="D109" s="1" t="str">
        <f t="shared" si="2"/>
        <v>145,62,225</v>
      </c>
      <c r="E109" t="str">
        <f t="shared" si="3"/>
        <v xml:space="preserve">node_color_list[i].push({node_department:"Corrections",node_label: "Community Residential Centers", node_color: "rgb(145,62,225)" }) </v>
      </c>
    </row>
    <row r="110" spans="1:6">
      <c r="A110" t="s">
        <v>138</v>
      </c>
      <c r="B110" t="s">
        <v>287</v>
      </c>
      <c r="C110" s="19"/>
      <c r="D110" s="1" t="str">
        <f t="shared" si="2"/>
        <v>71,16,162</v>
      </c>
      <c r="E110" t="str">
        <f t="shared" si="3"/>
        <v xml:space="preserve">node_color_list[i].push({node_department:"Corrections",node_label: "Electronic Monitoring", node_color: "rgb(71,16,162)" }) </v>
      </c>
    </row>
    <row r="111" spans="1:6">
      <c r="A111" t="s">
        <v>139</v>
      </c>
      <c r="B111" t="s">
        <v>277</v>
      </c>
      <c r="C111" s="12"/>
      <c r="D111" s="1" t="str">
        <f t="shared" si="2"/>
        <v>255,255,5</v>
      </c>
      <c r="E111" t="str">
        <f t="shared" si="3"/>
        <v xml:space="preserve">node_color_list[i].push({node_department:"Transportation",node_label: "Facilities Services", node_color: "rgb(255,255,5)" }) </v>
      </c>
    </row>
    <row r="112" spans="1:6">
      <c r="A112" t="s">
        <v>139</v>
      </c>
      <c r="B112" t="s">
        <v>166</v>
      </c>
      <c r="C112" s="11"/>
      <c r="D112" s="1" t="str">
        <f t="shared" si="2"/>
        <v>182,161,255</v>
      </c>
      <c r="E112" t="str">
        <f t="shared" si="3"/>
        <v xml:space="preserve">node_color_list[i].push({node_department:"Transportation",node_label: "Administration and Support", node_color: "rgb(182,161,255)" }) </v>
      </c>
      <c r="F112" s="11"/>
    </row>
    <row r="113" spans="1:5">
      <c r="A113" t="s">
        <v>139</v>
      </c>
      <c r="B113" t="s">
        <v>275</v>
      </c>
      <c r="C113" s="13"/>
      <c r="D113" s="1" t="str">
        <f t="shared" ref="D113:D168" si="4">getRGB2(C113)</f>
        <v>255,96,6</v>
      </c>
      <c r="E113" t="str">
        <f t="shared" si="3"/>
        <v xml:space="preserve">node_color_list[i].push({node_department:"Transportation",node_label: "Design, Engineering and Construction", node_color: "rgb(255,96,6)" }) </v>
      </c>
    </row>
    <row r="114" spans="1:5">
      <c r="A114" t="s">
        <v>139</v>
      </c>
      <c r="B114" t="s">
        <v>248</v>
      </c>
      <c r="C114" s="14"/>
      <c r="D114" s="1" t="str">
        <f t="shared" si="4"/>
        <v>25,0,253</v>
      </c>
      <c r="E114" t="str">
        <f t="shared" si="3"/>
        <v xml:space="preserve">node_color_list[i].push({node_department:"Transportation",node_label: "State Equipment Fleet", node_color: "rgb(25,0,253)" }) </v>
      </c>
    </row>
    <row r="115" spans="1:5">
      <c r="A115" t="s">
        <v>139</v>
      </c>
      <c r="B115" t="s">
        <v>274</v>
      </c>
      <c r="C115" s="15"/>
      <c r="D115" s="1" t="str">
        <f t="shared" si="4"/>
        <v>0,242,42</v>
      </c>
      <c r="E115" t="str">
        <f t="shared" si="3"/>
        <v xml:space="preserve">node_color_list[i].push({node_department:"Transportation",node_label: "Highways, Aviation and Facilities", node_color: "rgb(0,242,42)" }) </v>
      </c>
    </row>
    <row r="116" spans="1:5">
      <c r="A116" t="s">
        <v>139</v>
      </c>
      <c r="B116" t="s">
        <v>249</v>
      </c>
      <c r="C116" s="16"/>
      <c r="D116" s="1" t="str">
        <f t="shared" si="4"/>
        <v>0,127,212</v>
      </c>
      <c r="E116" t="str">
        <f t="shared" si="3"/>
        <v xml:space="preserve">node_color_list[i].push({node_department:"Transportation",node_label: "International Airports", node_color: "rgb(0,127,212)" }) </v>
      </c>
    </row>
    <row r="117" spans="1:5">
      <c r="A117" t="s">
        <v>139</v>
      </c>
      <c r="B117" t="s">
        <v>250</v>
      </c>
      <c r="C117" s="17"/>
      <c r="D117" s="1" t="str">
        <f t="shared" si="4"/>
        <v>109,177,2</v>
      </c>
      <c r="E117" t="str">
        <f t="shared" si="3"/>
        <v xml:space="preserve">node_color_list[i].push({node_department:"Transportation",node_label: "Marine Highway System", node_color: "rgb(109,177,2)" }) </v>
      </c>
    </row>
    <row r="118" spans="1:5">
      <c r="A118" t="s">
        <v>140</v>
      </c>
      <c r="B118" t="s">
        <v>251</v>
      </c>
      <c r="C118" s="11"/>
      <c r="D118" s="1" t="str">
        <f t="shared" si="4"/>
        <v>182,161,255</v>
      </c>
      <c r="E118" t="str">
        <f t="shared" si="3"/>
        <v xml:space="preserve">node_color_list[i].push({node_department:"Legislature",node_label: "Budget and Audit Committee", node_color: "rgb(182,161,255)" }) </v>
      </c>
    </row>
    <row r="119" spans="1:5">
      <c r="A119" t="s">
        <v>140</v>
      </c>
      <c r="B119" t="s">
        <v>252</v>
      </c>
      <c r="C119" s="12"/>
      <c r="D119" s="1" t="str">
        <f t="shared" si="4"/>
        <v>255,255,5</v>
      </c>
      <c r="E119" t="str">
        <f t="shared" si="3"/>
        <v xml:space="preserve">node_color_list[i].push({node_department:"Legislature",node_label: "Legislative Council", node_color: "rgb(255,255,5)" }) </v>
      </c>
    </row>
    <row r="120" spans="1:5">
      <c r="A120" t="s">
        <v>140</v>
      </c>
      <c r="B120" t="s">
        <v>253</v>
      </c>
      <c r="C120" s="13"/>
      <c r="D120" s="1" t="str">
        <f t="shared" si="4"/>
        <v>255,96,6</v>
      </c>
      <c r="E120" t="str">
        <f t="shared" si="3"/>
        <v xml:space="preserve">node_color_list[i].push({node_department:"Legislature",node_label: "Legislative Operating Budget", node_color: "rgb(255,96,6)" }) </v>
      </c>
    </row>
    <row r="121" spans="1:5">
      <c r="A121" t="s">
        <v>141</v>
      </c>
      <c r="B121" t="s">
        <v>254</v>
      </c>
      <c r="C121" s="11"/>
      <c r="D121" s="1" t="str">
        <f t="shared" si="4"/>
        <v>182,161,255</v>
      </c>
      <c r="E121" t="str">
        <f t="shared" si="3"/>
        <v xml:space="preserve">node_color_list[i].push({node_department:"Debt Service",node_label: "Lease Purchase Obligations", node_color: "rgb(182,161,255)" }) </v>
      </c>
    </row>
    <row r="122" spans="1:5">
      <c r="A122" t="s">
        <v>141</v>
      </c>
      <c r="B122" t="s">
        <v>255</v>
      </c>
      <c r="C122" s="12"/>
      <c r="D122" s="1" t="str">
        <f t="shared" si="4"/>
        <v>255,255,5</v>
      </c>
      <c r="E122" t="str">
        <f t="shared" si="3"/>
        <v xml:space="preserve">node_color_list[i].push({node_department:"Debt Service",node_label: "Revenue Bonds", node_color: "rgb(255,255,5)" }) </v>
      </c>
    </row>
    <row r="123" spans="1:5">
      <c r="A123" t="s">
        <v>141</v>
      </c>
      <c r="B123" t="s">
        <v>256</v>
      </c>
      <c r="C123" s="13"/>
      <c r="D123" s="1" t="str">
        <f t="shared" si="4"/>
        <v>255,96,6</v>
      </c>
      <c r="E123" t="str">
        <f t="shared" si="3"/>
        <v xml:space="preserve">node_color_list[i].push({node_department:"Debt Service",node_label: "Capital Projects(AS 42.45.065)", node_color: "rgb(255,96,6)" }) </v>
      </c>
    </row>
    <row r="124" spans="1:5">
      <c r="A124" t="s">
        <v>141</v>
      </c>
      <c r="B124" t="s">
        <v>257</v>
      </c>
      <c r="C124" s="14"/>
      <c r="D124" s="1" t="str">
        <f t="shared" si="4"/>
        <v>25,0,253</v>
      </c>
      <c r="E124" t="str">
        <f t="shared" si="3"/>
        <v xml:space="preserve">node_color_list[i].push({node_department:"Debt Service",node_label: "GO Bonds", node_color: "rgb(25,0,253)" }) </v>
      </c>
    </row>
    <row r="125" spans="1:5">
      <c r="A125" t="s">
        <v>141</v>
      </c>
      <c r="B125" t="s">
        <v>258</v>
      </c>
      <c r="C125" s="15"/>
      <c r="D125" s="1" t="str">
        <f t="shared" si="4"/>
        <v>0,242,42</v>
      </c>
      <c r="E125" t="str">
        <f t="shared" si="3"/>
        <v xml:space="preserve">node_color_list[i].push({node_department:"Debt Service",node_label: "School Debt", node_color: "rgb(0,242,42)" }) </v>
      </c>
    </row>
    <row r="126" spans="1:5">
      <c r="A126" t="s">
        <v>142</v>
      </c>
      <c r="B126" t="s">
        <v>259</v>
      </c>
      <c r="C126" s="11"/>
      <c r="D126" s="1" t="str">
        <f t="shared" si="4"/>
        <v>182,161,255</v>
      </c>
      <c r="E126" t="str">
        <f t="shared" si="3"/>
        <v xml:space="preserve">node_color_list[i].push({node_department:"Judiciary",node_label: "Alaska Court System", node_color: "rgb(182,161,255)" }) </v>
      </c>
    </row>
    <row r="127" spans="1:5">
      <c r="A127" t="s">
        <v>142</v>
      </c>
      <c r="B127" t="s">
        <v>260</v>
      </c>
      <c r="C127" s="12"/>
      <c r="D127" s="1" t="str">
        <f t="shared" si="4"/>
        <v>255,255,5</v>
      </c>
      <c r="E127" t="str">
        <f t="shared" si="3"/>
        <v xml:space="preserve">node_color_list[i].push({node_department:"Judiciary",node_label: "Therapeutic Courts", node_color: "rgb(255,255,5)" }) </v>
      </c>
    </row>
    <row r="128" spans="1:5">
      <c r="A128" t="s">
        <v>142</v>
      </c>
      <c r="B128" t="s">
        <v>261</v>
      </c>
      <c r="C128" s="13"/>
      <c r="D128" s="1" t="str">
        <f t="shared" si="4"/>
        <v>255,96,6</v>
      </c>
      <c r="E128" t="str">
        <f t="shared" si="3"/>
        <v xml:space="preserve">node_color_list[i].push({node_department:"Judiciary",node_label: "Commission on Judicial Conduct", node_color: "rgb(255,96,6)" }) </v>
      </c>
    </row>
    <row r="129" spans="1:5">
      <c r="A129" t="s">
        <v>142</v>
      </c>
      <c r="B129" t="s">
        <v>262</v>
      </c>
      <c r="C129" s="14"/>
      <c r="D129" s="1" t="str">
        <f t="shared" si="4"/>
        <v>25,0,253</v>
      </c>
      <c r="E129" t="str">
        <f t="shared" si="3"/>
        <v xml:space="preserve">node_color_list[i].push({node_department:"Judiciary",node_label: "Judicial Council", node_color: "rgb(25,0,253)" }) </v>
      </c>
    </row>
    <row r="130" spans="1:5">
      <c r="A130" t="s">
        <v>143</v>
      </c>
      <c r="B130" t="s">
        <v>278</v>
      </c>
      <c r="C130" s="11"/>
      <c r="D130" s="1" t="str">
        <f t="shared" si="4"/>
        <v>182,161,255</v>
      </c>
      <c r="E130" t="str">
        <f t="shared" si="3"/>
        <v xml:space="preserve">node_color_list[i].push({node_department:"University of Alaska",node_label: "Budget Reductions/Additions", node_color: "rgb(182,161,255)" }) </v>
      </c>
    </row>
    <row r="131" spans="1:5">
      <c r="A131" t="s">
        <v>143</v>
      </c>
      <c r="B131" t="s">
        <v>293</v>
      </c>
      <c r="C131" s="12"/>
      <c r="D131" s="1" t="str">
        <f t="shared" si="4"/>
        <v>255,255,5</v>
      </c>
      <c r="E131" t="str">
        <f t="shared" si="3"/>
        <v xml:space="preserve">node_color_list[i].push({node_department:"University of Alaska",node_label: "UA System Office", node_color: "rgb(255,255,5)" }) </v>
      </c>
    </row>
    <row r="132" spans="1:5">
      <c r="A132" t="s">
        <v>143</v>
      </c>
      <c r="B132" t="s">
        <v>280</v>
      </c>
      <c r="C132" s="13"/>
      <c r="D132" s="1" t="str">
        <f t="shared" si="4"/>
        <v>255,96,6</v>
      </c>
      <c r="E132" t="str">
        <f t="shared" ref="E132:E168" si="5">CONCATENATE( "node_color_list[i].push({node_department:""",A132,""",node_label: """, B132, """, node_color: ""rgb(",D132,")"" }) ")</f>
        <v xml:space="preserve">node_color_list[i].push({node_department:"University of Alaska",node_label: "Univ of Alaska Anchorage", node_color: "rgb(255,96,6)" }) </v>
      </c>
    </row>
    <row r="133" spans="1:5">
      <c r="A133" t="s">
        <v>143</v>
      </c>
      <c r="B133" t="s">
        <v>281</v>
      </c>
      <c r="C133" s="14"/>
      <c r="D133" s="1" t="str">
        <f t="shared" si="4"/>
        <v>25,0,253</v>
      </c>
      <c r="E133" t="str">
        <f t="shared" si="5"/>
        <v xml:space="preserve">node_color_list[i].push({node_department:"University of Alaska",node_label: "Univ of Alaska Fairbanks", node_color: "rgb(25,0,253)" }) </v>
      </c>
    </row>
    <row r="134" spans="1:5">
      <c r="A134" t="s">
        <v>143</v>
      </c>
      <c r="B134" t="s">
        <v>279</v>
      </c>
      <c r="C134" s="15"/>
      <c r="D134" s="1" t="str">
        <f t="shared" si="4"/>
        <v>0,242,42</v>
      </c>
      <c r="E134" t="str">
        <f t="shared" si="5"/>
        <v xml:space="preserve">node_color_list[i].push({node_department:"University of Alaska",node_label: "Enterprise Entities", node_color: "rgb(0,242,42)" }) </v>
      </c>
    </row>
    <row r="135" spans="1:5">
      <c r="A135" t="s">
        <v>143</v>
      </c>
      <c r="B135" t="s">
        <v>288</v>
      </c>
      <c r="C135" s="16"/>
      <c r="D135" s="1" t="str">
        <f t="shared" si="4"/>
        <v>0,127,212</v>
      </c>
      <c r="E135" t="str">
        <f t="shared" si="5"/>
        <v xml:space="preserve">node_color_list[i].push({node_department:"University of Alaska",node_label: "Univ of Alaska Anchorage CC", node_color: "rgb(0,127,212)" }) </v>
      </c>
    </row>
    <row r="136" spans="1:5">
      <c r="A136" t="s">
        <v>143</v>
      </c>
      <c r="B136" t="s">
        <v>289</v>
      </c>
      <c r="C136" s="17"/>
      <c r="D136" s="1" t="str">
        <f t="shared" si="4"/>
        <v>109,177,2</v>
      </c>
      <c r="E136" t="str">
        <f t="shared" si="5"/>
        <v xml:space="preserve">node_color_list[i].push({node_department:"University of Alaska",node_label: "Univ of Alaska Fairbanks CC", node_color: "rgb(109,177,2)" }) </v>
      </c>
    </row>
    <row r="137" spans="1:5">
      <c r="A137" t="s">
        <v>143</v>
      </c>
      <c r="B137" t="s">
        <v>282</v>
      </c>
      <c r="C137" s="18"/>
      <c r="D137" s="1" t="str">
        <f t="shared" si="4"/>
        <v>145,62,225</v>
      </c>
      <c r="E137" t="str">
        <f t="shared" si="5"/>
        <v xml:space="preserve">node_color_list[i].push({node_department:"University of Alaska",node_label: "Univ of Alaska Southeast", node_color: "rgb(145,62,225)" }) </v>
      </c>
    </row>
    <row r="138" spans="1:5">
      <c r="A138" t="s">
        <v>144</v>
      </c>
      <c r="B138" t="s">
        <v>263</v>
      </c>
      <c r="C138" s="11"/>
      <c r="D138" s="1" t="str">
        <f t="shared" si="4"/>
        <v>182,161,255</v>
      </c>
      <c r="E138" t="str">
        <f t="shared" si="5"/>
        <v xml:space="preserve">node_color_list[i].push({node_department:"Fund Capitalization",node_label: "Fund Caps (no approps out)", node_color: "rgb(182,161,255)" }) </v>
      </c>
    </row>
    <row r="139" spans="1:5">
      <c r="A139" t="s">
        <v>144</v>
      </c>
      <c r="B139" t="s">
        <v>264</v>
      </c>
      <c r="C139" s="12"/>
      <c r="D139" s="1" t="str">
        <f t="shared" si="4"/>
        <v>255,255,5</v>
      </c>
      <c r="E139" t="str">
        <f t="shared" si="5"/>
        <v xml:space="preserve">node_color_list[i].push({node_department:"Fund Capitalization",node_label: "Caps spent as duplicated funds", node_color: "rgb(255,255,5)" }) </v>
      </c>
    </row>
    <row r="140" spans="1:5">
      <c r="A140" t="s">
        <v>145</v>
      </c>
      <c r="B140" t="s">
        <v>265</v>
      </c>
      <c r="C140" s="11"/>
      <c r="D140" s="1" t="str">
        <f t="shared" si="4"/>
        <v>182,161,255</v>
      </c>
      <c r="E140" t="str">
        <f t="shared" si="5"/>
        <v xml:space="preserve">node_color_list[i].push({node_department:"State Retirement Payments",node_label: "PERS State Assistance", node_color: "rgb(182,161,255)" }) </v>
      </c>
    </row>
    <row r="141" spans="1:5">
      <c r="A141" t="s">
        <v>145</v>
      </c>
      <c r="B141" t="s">
        <v>266</v>
      </c>
      <c r="C141" s="12"/>
      <c r="D141" s="1" t="str">
        <f t="shared" si="4"/>
        <v>255,255,5</v>
      </c>
      <c r="E141" t="str">
        <f t="shared" si="5"/>
        <v xml:space="preserve">node_color_list[i].push({node_department:"State Retirement Payments",node_label: "TRS State Assistance", node_color: "rgb(255,255,5)" }) </v>
      </c>
    </row>
    <row r="142" spans="1:5">
      <c r="A142" t="s">
        <v>145</v>
      </c>
      <c r="B142" t="s">
        <v>267</v>
      </c>
      <c r="C142" s="13"/>
      <c r="D142" s="1" t="str">
        <f t="shared" si="4"/>
        <v>255,96,6</v>
      </c>
      <c r="E142" t="str">
        <f t="shared" si="5"/>
        <v xml:space="preserve">node_color_list[i].push({node_department:"State Retirement Payments",node_label: "EPORS", node_color: "rgb(255,96,6)" }) </v>
      </c>
    </row>
    <row r="143" spans="1:5">
      <c r="A143" t="s">
        <v>145</v>
      </c>
      <c r="B143" t="s">
        <v>268</v>
      </c>
      <c r="C143" s="14"/>
      <c r="D143" s="1" t="str">
        <f t="shared" si="4"/>
        <v>25,0,253</v>
      </c>
      <c r="E143" t="str">
        <f t="shared" si="5"/>
        <v xml:space="preserve">node_color_list[i].push({node_department:"State Retirement Payments",node_label: "Judicial Retirement System", node_color: "rgb(25,0,253)" }) </v>
      </c>
    </row>
    <row r="144" spans="1:5">
      <c r="A144" t="s">
        <v>146</v>
      </c>
      <c r="B144" t="s">
        <v>269</v>
      </c>
      <c r="C144" s="11"/>
      <c r="D144" s="1" t="str">
        <f t="shared" si="4"/>
        <v>182,161,255</v>
      </c>
      <c r="E144" t="str">
        <f t="shared" si="5"/>
        <v xml:space="preserve">node_color_list[i].push({node_department:"Special Appropriations",node_label: "Shared Taxes", node_color: "rgb(182,161,255)" }) </v>
      </c>
    </row>
    <row r="145" spans="1:5">
      <c r="A145" t="s">
        <v>147</v>
      </c>
      <c r="B145" t="s">
        <v>294</v>
      </c>
      <c r="C145" s="11"/>
      <c r="D145" s="1" t="str">
        <f t="shared" si="4"/>
        <v>182,161,255</v>
      </c>
      <c r="E145" t="str">
        <f t="shared" si="5"/>
        <v xml:space="preserve">node_color_list[i].push({node_department:"Fund Transfers",node_label: "General Fund (Revenue)", node_color: "rgb(182,161,255)" }) </v>
      </c>
    </row>
    <row r="146" spans="1:5">
      <c r="A146" t="s">
        <v>147</v>
      </c>
      <c r="B146" t="s">
        <v>270</v>
      </c>
      <c r="C146" s="12"/>
      <c r="D146" s="1" t="str">
        <f t="shared" si="4"/>
        <v>255,255,5</v>
      </c>
      <c r="E146" t="str">
        <f t="shared" si="5"/>
        <v xml:space="preserve">node_color_list[i].push({node_department:"Fund Transfers",node_label: "OpSys DGF Transfers (non-add)", node_color: "rgb(255,255,5)" }) </v>
      </c>
    </row>
    <row r="147" spans="1:5">
      <c r="A147" t="s">
        <v>147</v>
      </c>
      <c r="B147" t="s">
        <v>271</v>
      </c>
      <c r="C147" s="13"/>
      <c r="D147" s="1" t="str">
        <f t="shared" si="4"/>
        <v>255,96,6</v>
      </c>
      <c r="E147" t="str">
        <f t="shared" si="5"/>
        <v xml:space="preserve">node_color_list[i].push({node_department:"Fund Transfers",node_label: "OpSys Other Transfers (non-add)", node_color: "rgb(255,96,6)" }) </v>
      </c>
    </row>
    <row r="148" spans="1:5">
      <c r="A148" t="s">
        <v>148</v>
      </c>
      <c r="B148" t="s">
        <v>148</v>
      </c>
      <c r="C148" s="11"/>
      <c r="D148" s="1" t="str">
        <f t="shared" si="4"/>
        <v>182,161,255</v>
      </c>
      <c r="E148" t="str">
        <f t="shared" si="5"/>
        <v xml:space="preserve">node_color_list[i].push({node_department:"Permanent Fund",node_label: "Permanent Fund", node_color: "rgb(182,161,255)" }) </v>
      </c>
    </row>
    <row r="149" spans="1:5">
      <c r="A149" t="s">
        <v>148</v>
      </c>
      <c r="B149" t="s">
        <v>272</v>
      </c>
      <c r="C149" s="12"/>
      <c r="D149" s="1" t="str">
        <f t="shared" si="4"/>
        <v>255,255,5</v>
      </c>
      <c r="E149" t="str">
        <f t="shared" si="5"/>
        <v xml:space="preserve">node_color_list[i].push({node_department:"Permanent Fund",node_label: "Permanent Fund Corpus", node_color: "rgb(255,255,5)" }) </v>
      </c>
    </row>
    <row r="150" spans="1:5">
      <c r="A150" t="s">
        <v>148</v>
      </c>
      <c r="B150" t="s">
        <v>273</v>
      </c>
      <c r="C150" s="13"/>
      <c r="D150" s="1" t="str">
        <f t="shared" si="4"/>
        <v>255,96,6</v>
      </c>
      <c r="E150" t="str">
        <f t="shared" si="5"/>
        <v xml:space="preserve">node_color_list[i].push({node_department:"Permanent Fund",node_label: "PF Inflation Proofing", node_color: "rgb(255,96,6)" }) </v>
      </c>
    </row>
    <row r="151" spans="1:5">
      <c r="C151" s="14"/>
      <c r="D151" s="1" t="str">
        <f t="shared" si="4"/>
        <v>25,0,253</v>
      </c>
      <c r="E151" t="str">
        <f t="shared" si="5"/>
        <v xml:space="preserve">node_color_list[i].push({node_department:"",node_label: "", node_color: "rgb(25,0,253)" }) </v>
      </c>
    </row>
    <row r="152" spans="1:5">
      <c r="C152" s="15"/>
      <c r="D152" s="1" t="str">
        <f t="shared" si="4"/>
        <v>0,242,42</v>
      </c>
      <c r="E152" t="str">
        <f t="shared" si="5"/>
        <v xml:space="preserve">node_color_list[i].push({node_department:"",node_label: "", node_color: "rgb(0,242,42)" }) </v>
      </c>
    </row>
    <row r="153" spans="1:5">
      <c r="C153" s="16"/>
      <c r="D153" s="1" t="str">
        <f t="shared" si="4"/>
        <v>0,127,212</v>
      </c>
      <c r="E153" t="str">
        <f t="shared" si="5"/>
        <v xml:space="preserve">node_color_list[i].push({node_department:"",node_label: "", node_color: "rgb(0,127,212)" }) </v>
      </c>
    </row>
    <row r="154" spans="1:5">
      <c r="C154" s="17"/>
      <c r="D154" s="1" t="str">
        <f t="shared" si="4"/>
        <v>109,177,2</v>
      </c>
      <c r="E154" t="str">
        <f t="shared" si="5"/>
        <v xml:space="preserve">node_color_list[i].push({node_department:"",node_label: "", node_color: "rgb(109,177,2)" }) </v>
      </c>
    </row>
    <row r="155" spans="1:5">
      <c r="C155" s="18"/>
      <c r="D155" s="1" t="str">
        <f t="shared" si="4"/>
        <v>145,62,225</v>
      </c>
      <c r="E155" t="str">
        <f t="shared" si="5"/>
        <v xml:space="preserve">node_color_list[i].push({node_department:"",node_label: "", node_color: "rgb(145,62,225)" }) </v>
      </c>
    </row>
    <row r="156" spans="1:5">
      <c r="C156" s="19"/>
      <c r="D156" s="1" t="str">
        <f t="shared" si="4"/>
        <v>71,16,162</v>
      </c>
      <c r="E156" t="str">
        <f t="shared" si="5"/>
        <v xml:space="preserve">node_color_list[i].push({node_department:"",node_label: "", node_color: "rgb(71,16,162)" }) </v>
      </c>
    </row>
    <row r="157" spans="1:5">
      <c r="C157" s="20"/>
      <c r="D157" s="1" t="str">
        <f t="shared" si="4"/>
        <v>255,102,204</v>
      </c>
      <c r="E157" t="str">
        <f t="shared" si="5"/>
        <v xml:space="preserve">node_color_list[i].push({node_department:"",node_label: "", node_color: "rgb(255,102,204)" }) </v>
      </c>
    </row>
    <row r="158" spans="1:5">
      <c r="C158" s="21"/>
      <c r="D158" s="1" t="str">
        <f t="shared" si="4"/>
        <v>102,255,204</v>
      </c>
      <c r="E158" t="str">
        <f t="shared" si="5"/>
        <v xml:space="preserve">node_color_list[i].push({node_department:"",node_label: "", node_color: "rgb(102,255,204)" }) </v>
      </c>
    </row>
    <row r="159" spans="1:5">
      <c r="C159" s="22"/>
      <c r="D159" s="1" t="str">
        <f t="shared" si="4"/>
        <v>0,176,240</v>
      </c>
      <c r="E159" t="str">
        <f t="shared" si="5"/>
        <v xml:space="preserve">node_color_list[i].push({node_department:"",node_label: "", node_color: "rgb(0,176,240)" }) </v>
      </c>
    </row>
    <row r="160" spans="1:5">
      <c r="C160" s="23"/>
      <c r="D160" s="1" t="str">
        <f t="shared" si="4"/>
        <v>204,153,0</v>
      </c>
      <c r="E160" t="str">
        <f t="shared" si="5"/>
        <v xml:space="preserve">node_color_list[i].push({node_department:"",node_label: "", node_color: "rgb(204,153,0)" }) </v>
      </c>
    </row>
    <row r="161" spans="3:5">
      <c r="C161" s="24"/>
      <c r="D161" s="1" t="str">
        <f t="shared" si="4"/>
        <v>192,0,0</v>
      </c>
      <c r="E161" t="str">
        <f t="shared" si="5"/>
        <v xml:space="preserve">node_color_list[i].push({node_department:"",node_label: "", node_color: "rgb(192,0,0)" }) </v>
      </c>
    </row>
    <row r="162" spans="3:5">
      <c r="C162" s="25"/>
      <c r="D162" s="1" t="str">
        <f t="shared" si="4"/>
        <v>0,176,80</v>
      </c>
      <c r="E162" t="str">
        <f t="shared" si="5"/>
        <v xml:space="preserve">node_color_list[i].push({node_department:"",node_label: "", node_color: "rgb(0,176,80)" }) </v>
      </c>
    </row>
    <row r="163" spans="3:5">
      <c r="C163" s="26"/>
      <c r="D163" s="1" t="str">
        <f t="shared" si="4"/>
        <v>255,204,102</v>
      </c>
      <c r="E163" t="str">
        <f t="shared" si="5"/>
        <v xml:space="preserve">node_color_list[i].push({node_department:"",node_label: "", node_color: "rgb(255,204,102)" }) </v>
      </c>
    </row>
    <row r="164" spans="3:5">
      <c r="C164" s="22"/>
      <c r="D164" s="1" t="str">
        <f t="shared" si="4"/>
        <v>0,176,240</v>
      </c>
      <c r="E164" t="str">
        <f t="shared" si="5"/>
        <v xml:space="preserve">node_color_list[i].push({node_department:"",node_label: "", node_color: "rgb(0,176,240)" }) </v>
      </c>
    </row>
    <row r="165" spans="3:5">
      <c r="C165" s="23"/>
      <c r="D165" s="1" t="str">
        <f t="shared" si="4"/>
        <v>204,153,0</v>
      </c>
      <c r="E165" t="str">
        <f t="shared" si="5"/>
        <v xml:space="preserve">node_color_list[i].push({node_department:"",node_label: "", node_color: "rgb(204,153,0)" }) </v>
      </c>
    </row>
    <row r="166" spans="3:5">
      <c r="C166" s="24"/>
      <c r="D166" s="1" t="str">
        <f t="shared" si="4"/>
        <v>192,0,0</v>
      </c>
      <c r="E166" t="str">
        <f t="shared" si="5"/>
        <v xml:space="preserve">node_color_list[i].push({node_department:"",node_label: "", node_color: "rgb(192,0,0)" }) </v>
      </c>
    </row>
    <row r="167" spans="3:5">
      <c r="C167" s="25"/>
      <c r="D167" s="1" t="str">
        <f t="shared" si="4"/>
        <v>0,176,80</v>
      </c>
      <c r="E167" t="str">
        <f t="shared" si="5"/>
        <v xml:space="preserve">node_color_list[i].push({node_department:"",node_label: "", node_color: "rgb(0,176,80)" }) </v>
      </c>
    </row>
    <row r="168" spans="3:5">
      <c r="C168" s="26"/>
      <c r="D168" s="1" t="str">
        <f t="shared" si="4"/>
        <v>255,204,102</v>
      </c>
      <c r="E168" t="str">
        <f t="shared" si="5"/>
        <v xml:space="preserve">node_color_list[i].push({node_department:"",node_label: "", node_color: "rgb(255,204,102)"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904875</xdr:colOff>
                    <xdr:row>0</xdr:row>
                    <xdr:rowOff>66675</xdr:rowOff>
                  </from>
                  <to>
                    <xdr:col>1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DEE6E-35A8-4F9C-9733-9E0C36E39DAD}">
  <sheetPr codeName="Sheet4"/>
  <dimension ref="A1:A16"/>
  <sheetViews>
    <sheetView workbookViewId="0">
      <selection sqref="A1:A16"/>
    </sheetView>
  </sheetViews>
  <sheetFormatPr defaultRowHeight="15"/>
  <sheetData>
    <row r="1" spans="1:1">
      <c r="A1" s="11"/>
    </row>
    <row r="2" spans="1:1">
      <c r="A2" s="12"/>
    </row>
    <row r="3" spans="1:1">
      <c r="A3" s="13"/>
    </row>
    <row r="4" spans="1:1">
      <c r="A4" s="14"/>
    </row>
    <row r="5" spans="1:1">
      <c r="A5" s="15"/>
    </row>
    <row r="6" spans="1:1">
      <c r="A6" s="16"/>
    </row>
    <row r="7" spans="1:1">
      <c r="A7" s="17"/>
    </row>
    <row r="8" spans="1:1">
      <c r="A8" s="18"/>
    </row>
    <row r="9" spans="1:1">
      <c r="A9" s="19"/>
    </row>
    <row r="10" spans="1:1">
      <c r="A10" s="20"/>
    </row>
    <row r="11" spans="1:1">
      <c r="A11" s="21"/>
    </row>
    <row r="12" spans="1:1">
      <c r="A12" s="22"/>
    </row>
    <row r="13" spans="1:1">
      <c r="A13" s="23"/>
    </row>
    <row r="14" spans="1:1">
      <c r="A14" s="24"/>
    </row>
    <row r="15" spans="1:1">
      <c r="A15" s="25"/>
    </row>
    <row r="16" spans="1:1">
      <c r="A16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 Links</vt:lpstr>
      <vt:lpstr>Fund Nodes</vt:lpstr>
      <vt:lpstr>Department</vt:lpstr>
      <vt:lpstr>RDU Nodes</vt:lpstr>
      <vt:lpstr>Palette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Pannone, Dom M (GOV)</dc:creator>
  <cp:lastModifiedBy>dmpannone</cp:lastModifiedBy>
  <dcterms:created xsi:type="dcterms:W3CDTF">2020-01-20T04:43:16Z</dcterms:created>
  <dcterms:modified xsi:type="dcterms:W3CDTF">2021-09-23T09:36:38Z</dcterms:modified>
</cp:coreProperties>
</file>